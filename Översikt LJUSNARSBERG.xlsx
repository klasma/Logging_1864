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46235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46235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46235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46235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46235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46235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46235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46235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46235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46235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46235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45536-2024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45578</v>
      </c>
      <c r="E17" s="1" t="n">
        <v>46235</v>
      </c>
      <c r="F17" t="inlineStr">
        <is>
          <t>ÖREBRO LÄN</t>
        </is>
      </c>
      <c r="G17" t="inlineStr">
        <is>
          <t>LJUSNARSBERG</t>
        </is>
      </c>
      <c r="H17" t="inlineStr">
        <is>
          <t>Bergvik skog väst AB</t>
        </is>
      </c>
      <c r="I17" t="n">
        <v>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Tvåblad
Fläcknycklar</t>
        </is>
      </c>
      <c r="W17">
        <f>HYPERLINK("https://klasma.github.io/Logging_1864/artfynd/A 45536-2024 artfynd.xlsx", "A 45536-2024")</f>
        <v/>
      </c>
      <c r="X17">
        <f>HYPERLINK("https://klasma.github.io/Logging_1864/kartor/A 45536-2024 karta.png", "A 45536-2024")</f>
        <v/>
      </c>
      <c r="Y17">
        <f>HYPERLINK("https://klasma.github.io/Logging_1864/kartor_geotiff/A 45536-2024 georefererad karta.tif", "A 45536-2024")</f>
        <v/>
      </c>
      <c r="AA17">
        <f>HYPERLINK("https://klasma.github.io/Logging_1864/klagomål/A 45536-2024 FSC-klagomål.docx", "A 45536-2024")</f>
        <v/>
      </c>
      <c r="AB17">
        <f>HYPERLINK("https://klasma.github.io/Logging_1864/klagomålsmail/A 45536-2024 FSC-klagomål mail.docx", "A 45536-2024")</f>
        <v/>
      </c>
      <c r="AC17">
        <f>HYPERLINK("https://klasma.github.io/Logging_1864/tillsyn/A 45536-2024 tillsynsbegäran.docx", "A 45536-2024")</f>
        <v/>
      </c>
      <c r="AD17">
        <f>HYPERLINK("https://klasma.github.io/Logging_1864/tillsynsmail/A 45536-2024 tillsynsbegäran mail.docx", "A 45536-2024")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46235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46235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53729-2024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46235</v>
      </c>
      <c r="F20" t="inlineStr">
        <is>
          <t>ÖREBRO LÄN</t>
        </is>
      </c>
      <c r="G20" t="inlineStr">
        <is>
          <t>LJUSNARSBERG</t>
        </is>
      </c>
      <c r="I20" t="n">
        <v>14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Aspfjädermossa
Smal svampklubba</t>
        </is>
      </c>
      <c r="W20">
        <f>HYPERLINK("https://klasma.github.io/Logging_1864/artfynd/A 53729-2024 artfynd.xlsx", "A 53729-2024")</f>
        <v/>
      </c>
      <c r="X20">
        <f>HYPERLINK("https://klasma.github.io/Logging_1864/kartor/A 53729-2024 karta.png", "A 53729-2024")</f>
        <v/>
      </c>
      <c r="Y20">
        <f>HYPERLINK("https://klasma.github.io/Logging_1864/kartor_geotiff/A 53729-2024 georefererad karta.tif", "A 53729-2024")</f>
        <v/>
      </c>
      <c r="AA20">
        <f>HYPERLINK("https://klasma.github.io/Logging_1864/klagomål/A 53729-2024 FSC-klagomål.docx", "A 53729-2024")</f>
        <v/>
      </c>
      <c r="AB20">
        <f>HYPERLINK("https://klasma.github.io/Logging_1864/klagomålsmail/A 53729-2024 FSC-klagomål mail.docx", "A 53729-2024")</f>
        <v/>
      </c>
      <c r="AC20">
        <f>HYPERLINK("https://klasma.github.io/Logging_1864/tillsyn/A 53729-2024 tillsynsbegäran.docx", "A 53729-2024")</f>
        <v/>
      </c>
      <c r="AD20">
        <f>HYPERLINK("https://klasma.github.io/Logging_1864/tillsynsmail/A 53729-2024 tillsynsbegäran mail.docx", "A 53729-2024")</f>
        <v/>
      </c>
    </row>
    <row r="21" ht="15" customHeight="1">
      <c r="A21" t="inlineStr">
        <is>
          <t>A 49157-2023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46235</v>
      </c>
      <c r="F21" t="inlineStr">
        <is>
          <t>ÖREBRO LÄN</t>
        </is>
      </c>
      <c r="G21" t="inlineStr">
        <is>
          <t>LJUSNARSBERG</t>
        </is>
      </c>
      <c r="I21" t="n">
        <v>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Rödgul trumpetsvamp
Skogshakmossa</t>
        </is>
      </c>
      <c r="W21">
        <f>HYPERLINK("https://klasma.github.io/Logging_1864/artfynd/A 49157-2023 artfynd.xlsx", "A 49157-2023")</f>
        <v/>
      </c>
      <c r="X21">
        <f>HYPERLINK("https://klasma.github.io/Logging_1864/kartor/A 49157-2023 karta.png", "A 49157-2023")</f>
        <v/>
      </c>
      <c r="Y21">
        <f>HYPERLINK("https://klasma.github.io/Logging_1864/kartor_geotiff/A 49157-2023 georefererad karta.tif", "A 49157-2023")</f>
        <v/>
      </c>
      <c r="AA21">
        <f>HYPERLINK("https://klasma.github.io/Logging_1864/klagomål/A 49157-2023 FSC-klagomål.docx", "A 49157-2023")</f>
        <v/>
      </c>
      <c r="AB21">
        <f>HYPERLINK("https://klasma.github.io/Logging_1864/klagomålsmail/A 49157-2023 FSC-klagomål mail.docx", "A 49157-2023")</f>
        <v/>
      </c>
      <c r="AC21">
        <f>HYPERLINK("https://klasma.github.io/Logging_1864/tillsyn/A 49157-2023 tillsynsbegäran.docx", "A 49157-2023")</f>
        <v/>
      </c>
      <c r="AD21">
        <f>HYPERLINK("https://klasma.github.io/Logging_1864/tillsynsmail/A 49157-2023 tillsynsbegäran mail.docx", "A 49157-2023")</f>
        <v/>
      </c>
    </row>
    <row r="22" ht="15" customHeight="1">
      <c r="A22" t="inlineStr">
        <is>
          <t>A 56179-2024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46235</v>
      </c>
      <c r="F22" t="inlineStr">
        <is>
          <t>ÖREBRO LÄN</t>
        </is>
      </c>
      <c r="G22" t="inlineStr">
        <is>
          <t>LJUSNARSBERG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Vedticka</t>
        </is>
      </c>
      <c r="W22">
        <f>HYPERLINK("https://klasma.github.io/Logging_1864/artfynd/A 56179-2024 artfynd.xlsx", "A 56179-2024")</f>
        <v/>
      </c>
      <c r="X22">
        <f>HYPERLINK("https://klasma.github.io/Logging_1864/kartor/A 56179-2024 karta.png", "A 56179-2024")</f>
        <v/>
      </c>
      <c r="Y22">
        <f>HYPERLINK("https://klasma.github.io/Logging_1864/kartor_geotiff/A 56179-2024 georefererad karta.tif", "A 56179-2024")</f>
        <v/>
      </c>
      <c r="AA22">
        <f>HYPERLINK("https://klasma.github.io/Logging_1864/klagomål/A 56179-2024 FSC-klagomål.docx", "A 56179-2024")</f>
        <v/>
      </c>
      <c r="AB22">
        <f>HYPERLINK("https://klasma.github.io/Logging_1864/klagomålsmail/A 56179-2024 FSC-klagomål mail.docx", "A 56179-2024")</f>
        <v/>
      </c>
      <c r="AC22">
        <f>HYPERLINK("https://klasma.github.io/Logging_1864/tillsyn/A 56179-2024 tillsynsbegäran.docx", "A 56179-2024")</f>
        <v/>
      </c>
      <c r="AD22">
        <f>HYPERLINK("https://klasma.github.io/Logging_1864/tillsynsmail/A 56179-2024 tillsynsbegäran mail.docx", "A 56179-2024")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46235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46235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24791-2024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45460</v>
      </c>
      <c r="E25" s="1" t="n">
        <v>46235</v>
      </c>
      <c r="F25" t="inlineStr">
        <is>
          <t>ÖREBRO LÄN</t>
        </is>
      </c>
      <c r="G25" t="inlineStr">
        <is>
          <t>LJUSNARSBERG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Spillkråka</t>
        </is>
      </c>
      <c r="W25">
        <f>HYPERLINK("https://klasma.github.io/Logging_1864/artfynd/A 24791-2024 artfynd.xlsx", "A 24791-2024")</f>
        <v/>
      </c>
      <c r="X25">
        <f>HYPERLINK("https://klasma.github.io/Logging_1864/kartor/A 24791-2024 karta.png", "A 24791-2024")</f>
        <v/>
      </c>
      <c r="Y25">
        <f>HYPERLINK("https://klasma.github.io/Logging_1864/kartor_geotiff/A 24791-2024 georefererad karta.tif", "A 24791-2024")</f>
        <v/>
      </c>
      <c r="AA25">
        <f>HYPERLINK("https://klasma.github.io/Logging_1864/klagomål/A 24791-2024 FSC-klagomål.docx", "A 24791-2024")</f>
        <v/>
      </c>
      <c r="AB25">
        <f>HYPERLINK("https://klasma.github.io/Logging_1864/klagomålsmail/A 24791-2024 FSC-klagomål mail.docx", "A 24791-2024")</f>
        <v/>
      </c>
      <c r="AC25">
        <f>HYPERLINK("https://klasma.github.io/Logging_1864/tillsyn/A 24791-2024 tillsynsbegäran.docx", "A 24791-2024")</f>
        <v/>
      </c>
      <c r="AD25">
        <f>HYPERLINK("https://klasma.github.io/Logging_1864/tillsynsmail/A 24791-2024 tillsynsbegäran mail.docx", "A 24791-2024")</f>
        <v/>
      </c>
      <c r="AE25">
        <f>HYPERLINK("https://klasma.github.io/Logging_1864/fåglar/A 24791-2024 prioriterade fågelarter.docx", "A 24791-2024")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46235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46235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24299-2026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46235</v>
      </c>
      <c r="F28" t="inlineStr">
        <is>
          <t>ÖREBRO LÄN</t>
        </is>
      </c>
      <c r="G28" t="inlineStr">
        <is>
          <t>LJUSNARSBERG</t>
        </is>
      </c>
      <c r="I28" t="n">
        <v>10.8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HYPERLINK("https://klasma.github.io/Logging_1864/artfynd/A 24299-2026 artfynd.xlsx", "A 24299-2026")</f>
        <v/>
      </c>
      <c r="X28">
        <f>HYPERLINK("https://klasma.github.io/Logging_1864/kartor/A 24299-2026 karta.png", "A 24299-2026")</f>
        <v/>
      </c>
      <c r="Y28">
        <f>HYPERLINK("https://klasma.github.io/Logging_1864/kartor_geotiff/A 24299-2026 georefererad karta.tif", "A 24299-2026")</f>
        <v/>
      </c>
      <c r="AA28">
        <f>HYPERLINK("https://klasma.github.io/Logging_1864/klagomål/A 24299-2026 FSC-klagomål.docx", "A 24299-2026")</f>
        <v/>
      </c>
      <c r="AB28">
        <f>HYPERLINK("https://klasma.github.io/Logging_1864/klagomålsmail/A 24299-2026 FSC-klagomål mail.docx", "A 24299-2026")</f>
        <v/>
      </c>
      <c r="AC28">
        <f>HYPERLINK("https://klasma.github.io/Logging_1864/tillsyn/A 24299-2026 tillsynsbegäran.docx", "A 24299-2026")</f>
        <v/>
      </c>
      <c r="AD28">
        <f>HYPERLINK("https://klasma.github.io/Logging_1864/tillsynsmail/A 24299-2026 tillsynsbegäran mail.docx", "A 24299-2026")</f>
        <v/>
      </c>
      <c r="AE28">
        <f>HYPERLINK("https://klasma.github.io/Logging_1864/fåglar/A 24299-2026 prioriterade fågelarter.docx", "A 24299-2026")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46235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46235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A 19940-2026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46136</v>
      </c>
      <c r="E31" s="1" t="n">
        <v>46235</v>
      </c>
      <c r="F31" t="inlineStr">
        <is>
          <t>ÖREBRO LÄN</t>
        </is>
      </c>
      <c r="G31" t="inlineStr">
        <is>
          <t>LJUSNARSBERG</t>
        </is>
      </c>
      <c r="H31" t="inlineStr">
        <is>
          <t>Sveaskog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HYPERLINK("https://klasma.github.io/Logging_1864/artfynd/A 19940-2026 artfynd.xlsx", "A 19940-2026")</f>
        <v/>
      </c>
      <c r="X31">
        <f>HYPERLINK("https://klasma.github.io/Logging_1864/kartor/A 19940-2026 karta.png", "A 19940-2026")</f>
        <v/>
      </c>
      <c r="Y31">
        <f>HYPERLINK("https://klasma.github.io/Logging_1864/kartor_geotiff/A 19940-2026 georefererad karta.tif", "A 19940-2026")</f>
        <v/>
      </c>
      <c r="AA31">
        <f>HYPERLINK("https://klasma.github.io/Logging_1864/klagomål/A 19940-2026 FSC-klagomål.docx", "A 19940-2026")</f>
        <v/>
      </c>
      <c r="AB31">
        <f>HYPERLINK("https://klasma.github.io/Logging_1864/klagomålsmail/A 19940-2026 FSC-klagomål mail.docx", "A 19940-2026")</f>
        <v/>
      </c>
      <c r="AC31">
        <f>HYPERLINK("https://klasma.github.io/Logging_1864/tillsyn/A 19940-2026 tillsynsbegäran.docx", "A 19940-2026")</f>
        <v/>
      </c>
      <c r="AD31">
        <f>HYPERLINK("https://klasma.github.io/Logging_1864/tillsynsmail/A 19940-2026 tillsynsbegäran mail.docx", "A 19940-2026")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46235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HYPERLINK("https://klasma.github.io/Logging_1864/artfynd/A 39095-2022 artfynd.xlsx", "A 39095-2022")</f>
        <v/>
      </c>
      <c r="X32">
        <f>HYPERLINK("https://klasma.github.io/Logging_1864/kartor/A 39095-2022 karta.png", "A 39095-2022")</f>
        <v/>
      </c>
      <c r="Y32">
        <f>HYPERLINK("https://klasma.github.io/Logging_1864/kartor_geotiff/A 39095-2022 georefererad karta.tif", "A 39095-2022")</f>
        <v/>
      </c>
      <c r="AA32">
        <f>HYPERLINK("https://klasma.github.io/Logging_1864/klagomål/A 39095-2022 FSC-klagomål.docx", "A 39095-2022")</f>
        <v/>
      </c>
      <c r="AB32">
        <f>HYPERLINK("https://klasma.github.io/Logging_1864/klagomålsmail/A 39095-2022 FSC-klagomål mail.docx", "A 39095-2022")</f>
        <v/>
      </c>
      <c r="AC32">
        <f>HYPERLINK("https://klasma.github.io/Logging_1864/tillsyn/A 39095-2022 tillsynsbegäran.docx", "A 39095-2022")</f>
        <v/>
      </c>
      <c r="AD32">
        <f>HYPERLINK("https://klasma.github.io/Logging_1864/tillsynsmail/A 39095-2022 tillsynsbegäran mail.docx", "A 39095-2022")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46235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46235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46235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46235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46235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46235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46235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46235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46235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46235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46235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46235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46235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46235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46235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46235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46235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46235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45574</v>
      </c>
      <c r="E51" s="1" t="n">
        <v>46235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46235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46235</v>
      </c>
      <c r="F53" t="inlineStr">
        <is>
          <t>ÖREBRO LÄN</t>
        </is>
      </c>
      <c r="G53" t="inlineStr">
        <is>
          <t>LJUSNARSBERG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46235</v>
      </c>
      <c r="F54" t="inlineStr">
        <is>
          <t>ÖREBRO LÄN</t>
        </is>
      </c>
      <c r="G54" t="inlineStr">
        <is>
          <t>LJUSNARSBERG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46235</v>
      </c>
      <c r="F55" t="inlineStr">
        <is>
          <t>ÖREBRO LÄN</t>
        </is>
      </c>
      <c r="G55" t="inlineStr">
        <is>
          <t>LJUSNARSBERG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45124</v>
      </c>
      <c r="E56" s="1" t="n">
        <v>46235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46235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45347</v>
      </c>
      <c r="E58" s="1" t="n">
        <v>46235</v>
      </c>
      <c r="F58" t="inlineStr">
        <is>
          <t>ÖREBRO LÄN</t>
        </is>
      </c>
      <c r="G58" t="inlineStr">
        <is>
          <t>LJUSNARSBERG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46235</v>
      </c>
      <c r="F59" t="inlineStr">
        <is>
          <t>ÖREBRO LÄN</t>
        </is>
      </c>
      <c r="G59" t="inlineStr">
        <is>
          <t>LJUSNARSBERG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46235</v>
      </c>
      <c r="F60" t="inlineStr">
        <is>
          <t>ÖREBRO LÄN</t>
        </is>
      </c>
      <c r="G60" t="inlineStr">
        <is>
          <t>LJUSNARSBERG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59497-2024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45638</v>
      </c>
      <c r="E61" s="1" t="n">
        <v>46235</v>
      </c>
      <c r="F61" t="inlineStr">
        <is>
          <t>ÖREBRO LÄN</t>
        </is>
      </c>
      <c r="G61" t="inlineStr">
        <is>
          <t>LJUSNARSBERG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46235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46235</v>
      </c>
      <c r="F63" t="inlineStr">
        <is>
          <t>ÖREBRO LÄN</t>
        </is>
      </c>
      <c r="G63" t="inlineStr">
        <is>
          <t>LJUSNARSBERG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46235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45764</v>
      </c>
      <c r="E65" s="1" t="n">
        <v>46235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46235</v>
      </c>
      <c r="F66" t="inlineStr">
        <is>
          <t>ÖREBRO LÄN</t>
        </is>
      </c>
      <c r="G66" t="inlineStr">
        <is>
          <t>LJUSNARSBERG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46235</v>
      </c>
      <c r="F67" t="inlineStr">
        <is>
          <t>ÖREBRO LÄN</t>
        </is>
      </c>
      <c r="G67" t="inlineStr">
        <is>
          <t>LJUSNARSBERG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46235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46235</v>
      </c>
      <c r="F69" t="inlineStr">
        <is>
          <t>ÖREBRO LÄN</t>
        </is>
      </c>
      <c r="G69" t="inlineStr">
        <is>
          <t>LJUSNARSBERG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45538-2024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45578</v>
      </c>
      <c r="E70" s="1" t="n">
        <v>46235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44468</v>
      </c>
      <c r="E71" s="1" t="n">
        <v>46235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45574</v>
      </c>
      <c r="E72" s="1" t="n">
        <v>46235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46235</v>
      </c>
      <c r="F73" t="inlineStr">
        <is>
          <t>ÖREBRO LÄN</t>
        </is>
      </c>
      <c r="G73" t="inlineStr">
        <is>
          <t>LJUSNARSBERG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40477-2025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46235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46235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46235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46235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46235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8.199999999999999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46235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46235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46235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46235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27343-2025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46235</v>
      </c>
      <c r="F83" t="inlineStr">
        <is>
          <t>ÖREBRO LÄN</t>
        </is>
      </c>
      <c r="G83" t="inlineStr">
        <is>
          <t>LJUSNARSBERG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45581</v>
      </c>
      <c r="E84" s="1" t="n">
        <v>46235</v>
      </c>
      <c r="F84" t="inlineStr">
        <is>
          <t>ÖREBRO LÄN</t>
        </is>
      </c>
      <c r="G84" t="inlineStr">
        <is>
          <t>LJUSNARSBERG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46235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45575</v>
      </c>
      <c r="E86" s="1" t="n">
        <v>46235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8.199999999999999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46235</v>
      </c>
      <c r="F87" t="inlineStr">
        <is>
          <t>ÖREBRO LÄN</t>
        </is>
      </c>
      <c r="G87" t="inlineStr">
        <is>
          <t>LJUSNARSBERG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36108-2024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45533</v>
      </c>
      <c r="E88" s="1" t="n">
        <v>46235</v>
      </c>
      <c r="F88" t="inlineStr">
        <is>
          <t>ÖREBRO LÄN</t>
        </is>
      </c>
      <c r="G88" t="inlineStr">
        <is>
          <t>LJUSNARSBERG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45909</v>
      </c>
      <c r="E89" s="1" t="n">
        <v>46235</v>
      </c>
      <c r="F89" t="inlineStr">
        <is>
          <t>ÖREBRO LÄN</t>
        </is>
      </c>
      <c r="G89" t="inlineStr">
        <is>
          <t>LJUSNARSBERG</t>
        </is>
      </c>
      <c r="I89" t="n">
        <v>17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45583</v>
      </c>
      <c r="E90" s="1" t="n">
        <v>46235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44479-2025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46235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46235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46235</v>
      </c>
      <c r="F93" t="inlineStr">
        <is>
          <t>ÖREBRO LÄN</t>
        </is>
      </c>
      <c r="G93" t="inlineStr">
        <is>
          <t>LJUSNARSBERG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25574-2023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45089</v>
      </c>
      <c r="E94" s="1" t="n">
        <v>46235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46235</v>
      </c>
      <c r="F95" t="inlineStr">
        <is>
          <t>ÖREBRO LÄN</t>
        </is>
      </c>
      <c r="G95" t="inlineStr">
        <is>
          <t>LJUSNARSBERG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46235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46235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46235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46235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46235</v>
      </c>
      <c r="F100" t="inlineStr">
        <is>
          <t>ÖREBRO LÄN</t>
        </is>
      </c>
      <c r="G100" t="inlineStr">
        <is>
          <t>LJUSNARSBERG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46235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17276-2023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45035</v>
      </c>
      <c r="E102" s="1" t="n">
        <v>46235</v>
      </c>
      <c r="F102" t="inlineStr">
        <is>
          <t>ÖREBRO LÄN</t>
        </is>
      </c>
      <c r="G102" t="inlineStr">
        <is>
          <t>LJUSNARSBERG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46235</v>
      </c>
      <c r="F103" t="inlineStr">
        <is>
          <t>ÖREBRO LÄN</t>
        </is>
      </c>
      <c r="G103" t="inlineStr">
        <is>
          <t>LJUSNARSBERG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46235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46235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46235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46235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46235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48573-2025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46235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46235</v>
      </c>
      <c r="F110" t="inlineStr">
        <is>
          <t>ÖREBRO LÄN</t>
        </is>
      </c>
      <c r="G110" t="inlineStr">
        <is>
          <t>LJUSNARSBERG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45934</v>
      </c>
      <c r="E111" s="1" t="n">
        <v>46235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46235</v>
      </c>
      <c r="F112" t="inlineStr">
        <is>
          <t>ÖREBRO LÄN</t>
        </is>
      </c>
      <c r="G112" t="inlineStr">
        <is>
          <t>LJUSNARSBERG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46235</v>
      </c>
      <c r="F113" t="inlineStr">
        <is>
          <t>ÖREBRO LÄN</t>
        </is>
      </c>
      <c r="G113" t="inlineStr">
        <is>
          <t>LJUSNARSBERG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46235</v>
      </c>
      <c r="F114" t="inlineStr">
        <is>
          <t>ÖREBRO LÄN</t>
        </is>
      </c>
      <c r="G114" t="inlineStr">
        <is>
          <t>LJUSNARSBERG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50865-2025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45946</v>
      </c>
      <c r="E115" s="1" t="n">
        <v>46235</v>
      </c>
      <c r="F115" t="inlineStr">
        <is>
          <t>ÖREBRO LÄN</t>
        </is>
      </c>
      <c r="G115" t="inlineStr">
        <is>
          <t>LJUSNARSBERG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46235</v>
      </c>
      <c r="F116" t="inlineStr">
        <is>
          <t>ÖREBRO LÄN</t>
        </is>
      </c>
      <c r="G116" t="inlineStr">
        <is>
          <t>LJUSNARSBERG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46235</v>
      </c>
      <c r="F117" t="inlineStr">
        <is>
          <t>ÖREBRO LÄN</t>
        </is>
      </c>
      <c r="G117" t="inlineStr">
        <is>
          <t>LJUSNARSBERG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46235</v>
      </c>
      <c r="F118" t="inlineStr">
        <is>
          <t>ÖREBRO LÄN</t>
        </is>
      </c>
      <c r="G118" t="inlineStr">
        <is>
          <t>LJUSNARSBERG</t>
        </is>
      </c>
      <c r="I118" t="n">
        <v>14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44916</v>
      </c>
      <c r="E119" s="1" t="n">
        <v>46235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46235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45030</v>
      </c>
      <c r="E121" s="1" t="n">
        <v>46235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45839</v>
      </c>
      <c r="E122" s="1" t="n">
        <v>46235</v>
      </c>
      <c r="F122" t="inlineStr">
        <is>
          <t>ÖREBRO LÄN</t>
        </is>
      </c>
      <c r="G122" t="inlineStr">
        <is>
          <t>LJUSNARSBERG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45951</v>
      </c>
      <c r="E123" s="1" t="n">
        <v>46235</v>
      </c>
      <c r="F123" t="inlineStr">
        <is>
          <t>ÖREBRO LÄN</t>
        </is>
      </c>
      <c r="G123" t="inlineStr">
        <is>
          <t>LJUSNARSBERG</t>
        </is>
      </c>
      <c r="I123" t="n">
        <v>10.8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46235</v>
      </c>
      <c r="F124" t="inlineStr">
        <is>
          <t>ÖREBRO LÄN</t>
        </is>
      </c>
      <c r="G124" t="inlineStr">
        <is>
          <t>LJUSNARSBERG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23346-2022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46235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46235</v>
      </c>
      <c r="F126" t="inlineStr">
        <is>
          <t>ÖREBRO LÄN</t>
        </is>
      </c>
      <c r="G126" t="inlineStr">
        <is>
          <t>LJUSNARSBERG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44720</v>
      </c>
      <c r="E127" s="1" t="n">
        <v>46235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11.2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46235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45614</v>
      </c>
      <c r="E129" s="1" t="n">
        <v>46235</v>
      </c>
      <c r="F129" t="inlineStr">
        <is>
          <t>ÖREBRO LÄN</t>
        </is>
      </c>
      <c r="G129" t="inlineStr">
        <is>
          <t>LJUSNARSBERG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46235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46235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46235</v>
      </c>
      <c r="F132" t="inlineStr">
        <is>
          <t>ÖREBRO LÄN</t>
        </is>
      </c>
      <c r="G132" t="inlineStr">
        <is>
          <t>LJUSNARSBERG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52489-2022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46235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46163</v>
      </c>
      <c r="E134" s="1" t="n">
        <v>46235</v>
      </c>
      <c r="F134" t="inlineStr">
        <is>
          <t>ÖREBRO LÄN</t>
        </is>
      </c>
      <c r="G134" t="inlineStr">
        <is>
          <t>LJUSNARSBERG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46235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46235</v>
      </c>
      <c r="F136" t="inlineStr">
        <is>
          <t>ÖREBRO LÄN</t>
        </is>
      </c>
      <c r="G136" t="inlineStr">
        <is>
          <t>LJUSNARSBERG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46235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44788-2021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44438</v>
      </c>
      <c r="E138" s="1" t="n">
        <v>46235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45086</v>
      </c>
      <c r="E139" s="1" t="n">
        <v>46235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46167</v>
      </c>
      <c r="E140" s="1" t="n">
        <v>46235</v>
      </c>
      <c r="F140" t="inlineStr">
        <is>
          <t>ÖREBRO LÄN</t>
        </is>
      </c>
      <c r="G140" t="inlineStr">
        <is>
          <t>LJUSNARSBERG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46167</v>
      </c>
      <c r="E141" s="1" t="n">
        <v>46235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46235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46235</v>
      </c>
      <c r="F143" t="inlineStr">
        <is>
          <t>ÖREBRO LÄN</t>
        </is>
      </c>
      <c r="G143" t="inlineStr">
        <is>
          <t>LJUSNARSBERG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46235</v>
      </c>
      <c r="F144" t="inlineStr">
        <is>
          <t>ÖREBRO LÄN</t>
        </is>
      </c>
      <c r="G144" t="inlineStr">
        <is>
          <t>LJUSNARSBERG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45394</v>
      </c>
      <c r="E145" s="1" t="n">
        <v>46235</v>
      </c>
      <c r="F145" t="inlineStr">
        <is>
          <t>ÖREBRO LÄN</t>
        </is>
      </c>
      <c r="G145" t="inlineStr">
        <is>
          <t>LJUSNARSBERG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45578</v>
      </c>
      <c r="E146" s="1" t="n">
        <v>46235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46235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67746-2021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44524</v>
      </c>
      <c r="E148" s="1" t="n">
        <v>46235</v>
      </c>
      <c r="F148" t="inlineStr">
        <is>
          <t>ÖREBRO LÄN</t>
        </is>
      </c>
      <c r="G148" t="inlineStr">
        <is>
          <t>LJUSNARSBERG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46235</v>
      </c>
      <c r="F149" t="inlineStr">
        <is>
          <t>ÖREBRO LÄN</t>
        </is>
      </c>
      <c r="G149" t="inlineStr">
        <is>
          <t>LJUSNARSBERG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46235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46235</v>
      </c>
      <c r="F151" t="inlineStr">
        <is>
          <t>ÖREBRO LÄN</t>
        </is>
      </c>
      <c r="G151" t="inlineStr">
        <is>
          <t>LJUSNARSBERG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46235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46049</v>
      </c>
      <c r="E153" s="1" t="n">
        <v>46235</v>
      </c>
      <c r="F153" t="inlineStr">
        <is>
          <t>ÖREBRO LÄN</t>
        </is>
      </c>
      <c r="G153" t="inlineStr">
        <is>
          <t>LJUSNARSBERG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46235</v>
      </c>
      <c r="F154" t="inlineStr">
        <is>
          <t>ÖREBRO LÄN</t>
        </is>
      </c>
      <c r="G154" t="inlineStr">
        <is>
          <t>LJUSNARSBERG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46235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46235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46185</v>
      </c>
      <c r="E157" s="1" t="n">
        <v>46235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45463</v>
      </c>
      <c r="E158" s="1" t="n">
        <v>46235</v>
      </c>
      <c r="F158" t="inlineStr">
        <is>
          <t>ÖREBRO LÄN</t>
        </is>
      </c>
      <c r="G158" t="inlineStr">
        <is>
          <t>LJUSNARSBERG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46235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44690</v>
      </c>
      <c r="E160" s="1" t="n">
        <v>46235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46235</v>
      </c>
      <c r="F161" t="inlineStr">
        <is>
          <t>ÖREBRO LÄN</t>
        </is>
      </c>
      <c r="G161" t="inlineStr">
        <is>
          <t>LJUSNARSBERG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46235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46235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46235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59495-2024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45638</v>
      </c>
      <c r="E165" s="1" t="n">
        <v>46235</v>
      </c>
      <c r="F165" t="inlineStr">
        <is>
          <t>ÖREBRO LÄN</t>
        </is>
      </c>
      <c r="G165" t="inlineStr">
        <is>
          <t>LJUSNARSBERG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44694</v>
      </c>
      <c r="E166" s="1" t="n">
        <v>46235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46235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62810-2021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46235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46235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46235</v>
      </c>
      <c r="F170" t="inlineStr">
        <is>
          <t>ÖREBRO LÄN</t>
        </is>
      </c>
      <c r="G170" t="inlineStr">
        <is>
          <t>LJUSNARSBERG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44790</v>
      </c>
      <c r="E171" s="1" t="n">
        <v>46235</v>
      </c>
      <c r="F171" t="inlineStr">
        <is>
          <t>ÖREBRO LÄN</t>
        </is>
      </c>
      <c r="G171" t="inlineStr">
        <is>
          <t>LJUSNARSBERG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46235</v>
      </c>
      <c r="F172" t="inlineStr">
        <is>
          <t>ÖREBRO LÄN</t>
        </is>
      </c>
      <c r="G172" t="inlineStr">
        <is>
          <t>LJUSNARSBERG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46133</v>
      </c>
      <c r="E173" s="1" t="n">
        <v>46235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46235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46235</v>
      </c>
      <c r="F175" t="inlineStr">
        <is>
          <t>ÖREBRO LÄN</t>
        </is>
      </c>
      <c r="G175" t="inlineStr">
        <is>
          <t>LJUSNARSBERG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57129-2021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46235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46235</v>
      </c>
      <c r="F177" t="inlineStr">
        <is>
          <t>ÖREBRO LÄN</t>
        </is>
      </c>
      <c r="G177" t="inlineStr">
        <is>
          <t>LJUSNARSBERG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46235</v>
      </c>
      <c r="F178" t="inlineStr">
        <is>
          <t>ÖREBRO LÄN</t>
        </is>
      </c>
      <c r="G178" t="inlineStr">
        <is>
          <t>LJUSNARSBERG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46235</v>
      </c>
      <c r="F179" t="inlineStr">
        <is>
          <t>ÖREBRO LÄN</t>
        </is>
      </c>
      <c r="G179" t="inlineStr">
        <is>
          <t>LJUSNARSBERG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45387</v>
      </c>
      <c r="E180" s="1" t="n">
        <v>46235</v>
      </c>
      <c r="F180" t="inlineStr">
        <is>
          <t>ÖREBRO LÄN</t>
        </is>
      </c>
      <c r="G180" t="inlineStr">
        <is>
          <t>LJUSNARSBERG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46235</v>
      </c>
      <c r="F181" t="inlineStr">
        <is>
          <t>ÖREBRO LÄN</t>
        </is>
      </c>
      <c r="G181" t="inlineStr">
        <is>
          <t>LJUSNARSBERG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46235</v>
      </c>
      <c r="F182" t="inlineStr">
        <is>
          <t>ÖREBRO LÄN</t>
        </is>
      </c>
      <c r="G182" t="inlineStr">
        <is>
          <t>LJUSNARSBERG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46235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46235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46235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46235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46235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46235</v>
      </c>
      <c r="F188" t="inlineStr">
        <is>
          <t>ÖREBRO LÄN</t>
        </is>
      </c>
      <c r="G188" t="inlineStr">
        <is>
          <t>LJUSNARSBERG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46235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46235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45797</v>
      </c>
      <c r="E191" s="1" t="n">
        <v>46235</v>
      </c>
      <c r="F191" t="inlineStr">
        <is>
          <t>ÖREBRO LÄN</t>
        </is>
      </c>
      <c r="G191" t="inlineStr">
        <is>
          <t>LJUSNARSBERG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46235</v>
      </c>
      <c r="F192" t="inlineStr">
        <is>
          <t>ÖREBRO LÄN</t>
        </is>
      </c>
      <c r="G192" t="inlineStr">
        <is>
          <t>LJUSNARSBERG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46235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20673-2025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45776</v>
      </c>
      <c r="E194" s="1" t="n">
        <v>46235</v>
      </c>
      <c r="F194" t="inlineStr">
        <is>
          <t>ÖREBRO LÄN</t>
        </is>
      </c>
      <c r="G194" t="inlineStr">
        <is>
          <t>LJUSNARSBERG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46235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46235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46235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46235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46235</v>
      </c>
      <c r="F199" t="inlineStr">
        <is>
          <t>ÖREBRO LÄN</t>
        </is>
      </c>
      <c r="G199" t="inlineStr">
        <is>
          <t>LJUSNARSBERG</t>
        </is>
      </c>
      <c r="H199" t="inlineStr">
        <is>
          <t>Kyrkan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45659</v>
      </c>
      <c r="E200" s="1" t="n">
        <v>46235</v>
      </c>
      <c r="F200" t="inlineStr">
        <is>
          <t>ÖREBRO LÄN</t>
        </is>
      </c>
      <c r="G200" t="inlineStr">
        <is>
          <t>LJUSNARSBERG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46235</v>
      </c>
      <c r="F201" t="inlineStr">
        <is>
          <t>ÖREBRO LÄN</t>
        </is>
      </c>
      <c r="G201" t="inlineStr">
        <is>
          <t>LJUSNARSBERG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3541-2022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44734</v>
      </c>
      <c r="E202" s="1" t="n">
        <v>46235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10473-2021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44559</v>
      </c>
      <c r="E203" s="1" t="n">
        <v>46235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46235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1099-2022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44615</v>
      </c>
      <c r="E205" s="1" t="n">
        <v>46235</v>
      </c>
      <c r="F205" t="inlineStr">
        <is>
          <t>ÖREBRO LÄN</t>
        </is>
      </c>
      <c r="G205" t="inlineStr">
        <is>
          <t>LJUSNARSBERG</t>
        </is>
      </c>
      <c r="H205" t="inlineStr">
        <is>
          <t>Sveaskog</t>
        </is>
      </c>
      <c r="I205" t="n">
        <v>147.4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880-2024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45376</v>
      </c>
      <c r="E206" s="1" t="n">
        <v>46235</v>
      </c>
      <c r="F206" t="inlineStr">
        <is>
          <t>ÖREBRO LÄN</t>
        </is>
      </c>
      <c r="G206" t="inlineStr">
        <is>
          <t>LJUSNARSBERG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46235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46235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4521-2023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45275</v>
      </c>
      <c r="E209" s="1" t="n">
        <v>46235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20.7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7277-2021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46235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2836-2023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45167</v>
      </c>
      <c r="E211" s="1" t="n">
        <v>46235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707-2025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45720</v>
      </c>
      <c r="E212" s="1" t="n">
        <v>46235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1972-2025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45832</v>
      </c>
      <c r="E213" s="1" t="n">
        <v>46235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3578-2025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46010</v>
      </c>
      <c r="E214" s="1" t="n">
        <v>46235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603-2026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46085</v>
      </c>
      <c r="E215" s="1" t="n">
        <v>46235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125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46235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1743-2026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46185</v>
      </c>
      <c r="E217" s="1" t="n">
        <v>46235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2026-08-01T01:53:22Z</dcterms:created>
  <dcterms:modified xmlns:dcterms="http://purl.org/dc/terms/" xmlns:xsi="http://www.w3.org/2001/XMLSchema-instance" xsi:type="dcterms:W3CDTF">2026-08-01T01:53:23Z</dcterms:modified>
</cp:coreProperties>
</file>