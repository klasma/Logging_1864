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46227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44403</v>
      </c>
      <c r="E3" s="1" t="n">
        <v>46227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6.2</v>
      </c>
      <c r="J3" t="n">
        <v>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31</v>
      </c>
      <c r="U3" t="n">
        <v>26</v>
      </c>
      <c r="V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W3">
        <f>HYPERLINK("https://klasma.github.io/Logging_1864/artfynd/A 37817-2021 artfynd.xlsx", "A 37817-2021")</f>
        <v/>
      </c>
      <c r="X3">
        <f>HYPERLINK("https://klasma.github.io/Logging_1864/kartor/A 37817-2021 karta.png", "A 37817-2021")</f>
        <v/>
      </c>
      <c r="Y3">
        <f>HYPERLINK("https://klasma.github.io/Logging_1864/kartor_geotiff/A 37817-2021 georefererad karta.tif", "A 37817-2021")</f>
        <v/>
      </c>
      <c r="AA3">
        <f>HYPERLINK("https://klasma.github.io/Logging_1864/klagomål/A 37817-2021 FSC-klagomål.docx", "A 37817-2021")</f>
        <v/>
      </c>
      <c r="AB3">
        <f>HYPERLINK("https://klasma.github.io/Logging_1864/klagomålsmail/A 37817-2021 FSC-klagomål mail.docx", "A 37817-2021")</f>
        <v/>
      </c>
      <c r="AC3">
        <f>HYPERLINK("https://klasma.github.io/Logging_1864/tillsyn/A 37817-2021 tillsynsbegäran.docx", "A 37817-2021")</f>
        <v/>
      </c>
      <c r="AD3">
        <f>HYPERLINK("https://klasma.github.io/Logging_1864/tillsynsmail/A 37817-2021 tillsynsbegäran mail.docx", "A 37817-2021")</f>
        <v/>
      </c>
      <c r="AE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46227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2.2</v>
      </c>
      <c r="J4" t="n">
        <v>1</v>
      </c>
      <c r="K4" t="n">
        <v>5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9</v>
      </c>
      <c r="T4" t="n">
        <v>18</v>
      </c>
      <c r="U4" t="n">
        <v>13</v>
      </c>
      <c r="V4" s="2" t="inlineStr">
        <is>
          <t>Garnlav
Brunpudrad nållav
Tretåig hackspett
Vedtrappmossa
Flagellkvastmossa
Gulnål
Mindre märgborre
Vedticka
Vågbandad barkbock</t>
        </is>
      </c>
      <c r="W4">
        <f>HYPERLINK("https://klasma.github.io/Logging_1864/artfynd/A 65215-2021 artfynd.xlsx", "A 65215-2021")</f>
        <v/>
      </c>
      <c r="X4">
        <f>HYPERLINK("https://klasma.github.io/Logging_1864/kartor/A 65215-2021 karta.png", "A 65215-2021")</f>
        <v/>
      </c>
      <c r="Y4">
        <f>HYPERLINK("https://klasma.github.io/Logging_1864/kartor_geotiff/A 65215-2021 georefererad karta.tif", "A 65215-2021")</f>
        <v/>
      </c>
      <c r="AA4">
        <f>HYPERLINK("https://klasma.github.io/Logging_1864/klagomål/A 65215-2021 FSC-klagomål.docx", "A 65215-2021")</f>
        <v/>
      </c>
      <c r="AB4">
        <f>HYPERLINK("https://klasma.github.io/Logging_1864/klagomålsmail/A 65215-2021 FSC-klagomål mail.docx", "A 65215-2021")</f>
        <v/>
      </c>
      <c r="AC4">
        <f>HYPERLINK("https://klasma.github.io/Logging_1864/tillsyn/A 65215-2021 tillsynsbegäran.docx", "A 65215-2021")</f>
        <v/>
      </c>
      <c r="AD4">
        <f>HYPERLINK("https://klasma.github.io/Logging_1864/tillsynsmail/A 65215-2021 tillsynsbegäran mail.docx", "A 65215-2021")</f>
        <v/>
      </c>
      <c r="AE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46227</v>
      </c>
      <c r="F5" t="inlineStr">
        <is>
          <t>ÖREBRO LÄN</t>
        </is>
      </c>
      <c r="G5" t="inlineStr">
        <is>
          <t>LJUSNARSBERG</t>
        </is>
      </c>
      <c r="H5" t="inlineStr">
        <is>
          <t>Bergvik skog väst AB</t>
        </is>
      </c>
      <c r="I5" t="n">
        <v>1.9</v>
      </c>
      <c r="J5" t="n">
        <v>2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14</v>
      </c>
      <c r="U5" t="n">
        <v>8</v>
      </c>
      <c r="V5" s="2" t="inlineStr">
        <is>
          <t>Garnlav
Brunpudrad nållav
Tallriska
Tretåig hackspett
Gulnål
Mindre märgborre
Thomsons trägnagare
Tjäder</t>
        </is>
      </c>
      <c r="W5">
        <f>HYPERLINK("https://klasma.github.io/Logging_1864/artfynd/A 65216-2021 artfynd.xlsx", "A 65216-2021")</f>
        <v/>
      </c>
      <c r="X5">
        <f>HYPERLINK("https://klasma.github.io/Logging_1864/kartor/A 65216-2021 karta.png", "A 65216-2021")</f>
        <v/>
      </c>
      <c r="Y5">
        <f>HYPERLINK("https://klasma.github.io/Logging_1864/kartor_geotiff/A 65216-2021 georefererad karta.tif", "A 65216-2021")</f>
        <v/>
      </c>
      <c r="AA5">
        <f>HYPERLINK("https://klasma.github.io/Logging_1864/klagomål/A 65216-2021 FSC-klagomål.docx", "A 65216-2021")</f>
        <v/>
      </c>
      <c r="AB5">
        <f>HYPERLINK("https://klasma.github.io/Logging_1864/klagomålsmail/A 65216-2021 FSC-klagomål mail.docx", "A 65216-2021")</f>
        <v/>
      </c>
      <c r="AC5">
        <f>HYPERLINK("https://klasma.github.io/Logging_1864/tillsyn/A 65216-2021 tillsynsbegäran.docx", "A 65216-2021")</f>
        <v/>
      </c>
      <c r="AD5">
        <f>HYPERLINK("https://klasma.github.io/Logging_1864/tillsynsmail/A 65216-2021 tillsynsbegäran mail.docx", "A 65216-2021")</f>
        <v/>
      </c>
      <c r="AE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46227</v>
      </c>
      <c r="F6" t="inlineStr">
        <is>
          <t>ÖREBRO LÄN</t>
        </is>
      </c>
      <c r="G6" t="inlineStr">
        <is>
          <t>LJUSNARSBERG</t>
        </is>
      </c>
      <c r="I6" t="n">
        <v>9.9</v>
      </c>
      <c r="J6" t="n">
        <v>5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8</v>
      </c>
      <c r="U6" t="n">
        <v>8</v>
      </c>
      <c r="V6" s="2" t="inlineStr">
        <is>
          <t>Garnlav
Talltita
Vedticka
Spillkråka
Tofsmes
Kungsfågel
Svartvit flugsnappare</t>
        </is>
      </c>
      <c r="W6">
        <f>HYPERLINK("https://klasma.github.io/Logging_1864/artfynd/A 45797-2021 artfynd.xlsx", "A 45797-2021")</f>
        <v/>
      </c>
      <c r="X6">
        <f>HYPERLINK("https://klasma.github.io/Logging_1864/kartor/A 45797-2021 karta.png", "A 45797-2021")</f>
        <v/>
      </c>
      <c r="Y6">
        <f>HYPERLINK("https://klasma.github.io/Logging_1864/kartor_geotiff/A 45797-2021 georefererad karta.tif", "A 45797-2021")</f>
        <v/>
      </c>
      <c r="AA6">
        <f>HYPERLINK("https://klasma.github.io/Logging_1864/klagomål/A 45797-2021 FSC-klagomål.docx", "A 45797-2021")</f>
        <v/>
      </c>
      <c r="AB6">
        <f>HYPERLINK("https://klasma.github.io/Logging_1864/klagomålsmail/A 45797-2021 FSC-klagomål mail.docx", "A 45797-2021")</f>
        <v/>
      </c>
      <c r="AC6">
        <f>HYPERLINK("https://klasma.github.io/Logging_1864/tillsyn/A 45797-2021 tillsynsbegäran.docx", "A 45797-2021")</f>
        <v/>
      </c>
      <c r="AD6">
        <f>HYPERLINK("https://klasma.github.io/Logging_1864/tillsynsmail/A 45797-2021 tillsynsbegäran mail.docx", "A 45797-2021")</f>
        <v/>
      </c>
      <c r="AE6">
        <f>HYPERLINK("https://klasma.github.io/Logging_1864/fåglar/A 45797-2021 prioriterade fågelarter.docx", "A 45797-2021")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46227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46227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46227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46227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18853-2026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46127</v>
      </c>
      <c r="E11" s="1" t="n">
        <v>46227</v>
      </c>
      <c r="F11" t="inlineStr">
        <is>
          <t>ÖREBRO LÄN</t>
        </is>
      </c>
      <c r="G11" t="inlineStr">
        <is>
          <t>LJUSNARSBERG</t>
        </is>
      </c>
      <c r="I11" t="n">
        <v>9.5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Entita
Bronshjon
Spillkråka
Grönsiska
Kungsfågel</t>
        </is>
      </c>
      <c r="W11">
        <f>HYPERLINK("https://klasma.github.io/Logging_1864/artfynd/A 18853-2026 artfynd.xlsx", "A 18853-2026")</f>
        <v/>
      </c>
      <c r="X11">
        <f>HYPERLINK("https://klasma.github.io/Logging_1864/kartor/A 18853-2026 karta.png", "A 18853-2026")</f>
        <v/>
      </c>
      <c r="Y11">
        <f>HYPERLINK("https://klasma.github.io/Logging_1864/kartor_geotiff/A 18853-2026 georefererad karta.tif", "A 18853-2026")</f>
        <v/>
      </c>
      <c r="AA11">
        <f>HYPERLINK("https://klasma.github.io/Logging_1864/klagomål/A 18853-2026 FSC-klagomål.docx", "A 18853-2026")</f>
        <v/>
      </c>
      <c r="AB11">
        <f>HYPERLINK("https://klasma.github.io/Logging_1864/klagomålsmail/A 18853-2026 FSC-klagomål mail.docx", "A 18853-2026")</f>
        <v/>
      </c>
      <c r="AC11">
        <f>HYPERLINK("https://klasma.github.io/Logging_1864/tillsyn/A 18853-2026 tillsynsbegäran.docx", "A 18853-2026")</f>
        <v/>
      </c>
      <c r="AD11">
        <f>HYPERLINK("https://klasma.github.io/Logging_1864/tillsynsmail/A 18853-2026 tillsynsbegäran mail.docx", "A 18853-2026")</f>
        <v/>
      </c>
      <c r="AE11">
        <f>HYPERLINK("https://klasma.github.io/Logging_1864/fåglar/A 18853-2026 prioriterade fågelarter.docx", "A 18853-2026")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46227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46227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24307-2026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46227</v>
      </c>
      <c r="F14" t="inlineStr">
        <is>
          <t>ÖREBRO LÄN</t>
        </is>
      </c>
      <c r="G14" t="inlineStr">
        <is>
          <t>LJUSNARSBERG</t>
        </is>
      </c>
      <c r="I14" t="n">
        <v>10.5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11</v>
      </c>
      <c r="U14" t="n">
        <v>11</v>
      </c>
      <c r="V14" s="2" t="inlineStr">
        <is>
          <t>Tretåig hackspett
Tjäder
Vanlig groda
Fläcknycklar</t>
        </is>
      </c>
      <c r="W14">
        <f>HYPERLINK("https://klasma.github.io/Logging_1864/artfynd/A 24307-2026 artfynd.xlsx", "A 24307-2026")</f>
        <v/>
      </c>
      <c r="X14">
        <f>HYPERLINK("https://klasma.github.io/Logging_1864/kartor/A 24307-2026 karta.png", "A 24307-2026")</f>
        <v/>
      </c>
      <c r="Y14">
        <f>HYPERLINK("https://klasma.github.io/Logging_1864/kartor_geotiff/A 24307-2026 georefererad karta.tif", "A 24307-2026")</f>
        <v/>
      </c>
      <c r="AA14">
        <f>HYPERLINK("https://klasma.github.io/Logging_1864/klagomål/A 24307-2026 FSC-klagomål.docx", "A 24307-2026")</f>
        <v/>
      </c>
      <c r="AB14">
        <f>HYPERLINK("https://klasma.github.io/Logging_1864/klagomålsmail/A 24307-2026 FSC-klagomål mail.docx", "A 24307-2026")</f>
        <v/>
      </c>
      <c r="AC14">
        <f>HYPERLINK("https://klasma.github.io/Logging_1864/tillsyn/A 24307-2026 tillsynsbegäran.docx", "A 24307-2026")</f>
        <v/>
      </c>
      <c r="AD14">
        <f>HYPERLINK("https://klasma.github.io/Logging_1864/tillsynsmail/A 24307-2026 tillsynsbegäran mail.docx", "A 24307-2026")</f>
        <v/>
      </c>
      <c r="AE14">
        <f>HYPERLINK("https://klasma.github.io/Logging_1864/fåglar/A 24307-2026 prioriterade fågelarter.docx", "A 24307-2026")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46227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46227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46227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53729-2024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45614</v>
      </c>
      <c r="E18" s="1" t="n">
        <v>46227</v>
      </c>
      <c r="F18" t="inlineStr">
        <is>
          <t>ÖREBRO LÄN</t>
        </is>
      </c>
      <c r="G18" t="inlineStr">
        <is>
          <t>LJUSNARSBERG</t>
        </is>
      </c>
      <c r="I18" t="n">
        <v>14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Aspfjädermossa
Smal svampklubba</t>
        </is>
      </c>
      <c r="W18">
        <f>HYPERLINK("https://klasma.github.io/Logging_1864/artfynd/A 53729-2024 artfynd.xlsx", "A 53729-2024")</f>
        <v/>
      </c>
      <c r="X18">
        <f>HYPERLINK("https://klasma.github.io/Logging_1864/kartor/A 53729-2024 karta.png", "A 53729-2024")</f>
        <v/>
      </c>
      <c r="Y18">
        <f>HYPERLINK("https://klasma.github.io/Logging_1864/kartor_geotiff/A 53729-2024 georefererad karta.tif", "A 53729-2024")</f>
        <v/>
      </c>
      <c r="AA18">
        <f>HYPERLINK("https://klasma.github.io/Logging_1864/klagomål/A 53729-2024 FSC-klagomål.docx", "A 53729-2024")</f>
        <v/>
      </c>
      <c r="AB18">
        <f>HYPERLINK("https://klasma.github.io/Logging_1864/klagomålsmail/A 53729-2024 FSC-klagomål mail.docx", "A 53729-2024")</f>
        <v/>
      </c>
      <c r="AC18">
        <f>HYPERLINK("https://klasma.github.io/Logging_1864/tillsyn/A 53729-2024 tillsynsbegäran.docx", "A 53729-2024")</f>
        <v/>
      </c>
      <c r="AD18">
        <f>HYPERLINK("https://klasma.github.io/Logging_1864/tillsynsmail/A 53729-2024 tillsynsbegäran mail.docx", "A 53729-2024")</f>
        <v/>
      </c>
    </row>
    <row r="19" ht="15" customHeight="1">
      <c r="A19" t="inlineStr">
        <is>
          <t>A 49157-2023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46227</v>
      </c>
      <c r="F19" t="inlineStr">
        <is>
          <t>ÖREBRO LÄN</t>
        </is>
      </c>
      <c r="G19" t="inlineStr">
        <is>
          <t>LJUSNARSBERG</t>
        </is>
      </c>
      <c r="I19" t="n">
        <v>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Rödgul trumpetsvamp
Skogshakmossa</t>
        </is>
      </c>
      <c r="W19">
        <f>HYPERLINK("https://klasma.github.io/Logging_1864/artfynd/A 49157-2023 artfynd.xlsx", "A 49157-2023")</f>
        <v/>
      </c>
      <c r="X19">
        <f>HYPERLINK("https://klasma.github.io/Logging_1864/kartor/A 49157-2023 karta.png", "A 49157-2023")</f>
        <v/>
      </c>
      <c r="Y19">
        <f>HYPERLINK("https://klasma.github.io/Logging_1864/kartor_geotiff/A 49157-2023 georefererad karta.tif", "A 49157-2023")</f>
        <v/>
      </c>
      <c r="AA19">
        <f>HYPERLINK("https://klasma.github.io/Logging_1864/klagomål/A 49157-2023 FSC-klagomål.docx", "A 49157-2023")</f>
        <v/>
      </c>
      <c r="AB19">
        <f>HYPERLINK("https://klasma.github.io/Logging_1864/klagomålsmail/A 49157-2023 FSC-klagomål mail.docx", "A 49157-2023")</f>
        <v/>
      </c>
      <c r="AC19">
        <f>HYPERLINK("https://klasma.github.io/Logging_1864/tillsyn/A 49157-2023 tillsynsbegäran.docx", "A 49157-2023")</f>
        <v/>
      </c>
      <c r="AD19">
        <f>HYPERLINK("https://klasma.github.io/Logging_1864/tillsynsmail/A 49157-2023 tillsynsbegäran mail.docx", "A 49157-2023")</f>
        <v/>
      </c>
    </row>
    <row r="20" ht="15" customHeight="1">
      <c r="A20" t="inlineStr">
        <is>
          <t>A 33193-2024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45518</v>
      </c>
      <c r="E20" s="1" t="n">
        <v>46227</v>
      </c>
      <c r="F20" t="inlineStr">
        <is>
          <t>ÖREBRO LÄN</t>
        </is>
      </c>
      <c r="G20" t="inlineStr">
        <is>
          <t>LJUSNARSBERG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Dropptaggsvamp
Tjäder</t>
        </is>
      </c>
      <c r="W20">
        <f>HYPERLINK("https://klasma.github.io/Logging_1864/artfynd/A 33193-2024 artfynd.xlsx", "A 33193-2024")</f>
        <v/>
      </c>
      <c r="X20">
        <f>HYPERLINK("https://klasma.github.io/Logging_1864/kartor/A 33193-2024 karta.png", "A 33193-2024")</f>
        <v/>
      </c>
      <c r="Y20">
        <f>HYPERLINK("https://klasma.github.io/Logging_1864/kartor_geotiff/A 33193-2024 georefererad karta.tif", "A 33193-2024")</f>
        <v/>
      </c>
      <c r="AA20">
        <f>HYPERLINK("https://klasma.github.io/Logging_1864/klagomål/A 33193-2024 FSC-klagomål.docx", "A 33193-2024")</f>
        <v/>
      </c>
      <c r="AB20">
        <f>HYPERLINK("https://klasma.github.io/Logging_1864/klagomålsmail/A 33193-2024 FSC-klagomål mail.docx", "A 33193-2024")</f>
        <v/>
      </c>
      <c r="AC20">
        <f>HYPERLINK("https://klasma.github.io/Logging_1864/tillsyn/A 33193-2024 tillsynsbegäran.docx", "A 33193-2024")</f>
        <v/>
      </c>
      <c r="AD20">
        <f>HYPERLINK("https://klasma.github.io/Logging_1864/tillsynsmail/A 33193-2024 tillsynsbegäran mail.docx", "A 33193-2024")</f>
        <v/>
      </c>
      <c r="AE20">
        <f>HYPERLINK("https://klasma.github.io/Logging_1864/fåglar/A 33193-2024 prioriterade fågelarter.docx", "A 33193-2024")</f>
        <v/>
      </c>
    </row>
    <row r="21" ht="15" customHeight="1">
      <c r="A21" t="inlineStr">
        <is>
          <t>A 24374-2026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46227</v>
      </c>
      <c r="F21" t="inlineStr">
        <is>
          <t>ÖREBRO LÄN</t>
        </is>
      </c>
      <c r="G21" t="inlineStr">
        <is>
          <t>LJUSNARSBERG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Vågbandad barkbock
Fläcknycklar</t>
        </is>
      </c>
      <c r="W21">
        <f>HYPERLINK("https://klasma.github.io/Logging_1864/artfynd/A 24374-2026 artfynd.xlsx", "A 24374-2026")</f>
        <v/>
      </c>
      <c r="X21">
        <f>HYPERLINK("https://klasma.github.io/Logging_1864/kartor/A 24374-2026 karta.png", "A 24374-2026")</f>
        <v/>
      </c>
      <c r="Y21">
        <f>HYPERLINK("https://klasma.github.io/Logging_1864/kartor_geotiff/A 24374-2026 georefererad karta.tif", "A 24374-2026")</f>
        <v/>
      </c>
      <c r="AA21">
        <f>HYPERLINK("https://klasma.github.io/Logging_1864/klagomål/A 24374-2026 FSC-klagomål.docx", "A 24374-2026")</f>
        <v/>
      </c>
      <c r="AB21">
        <f>HYPERLINK("https://klasma.github.io/Logging_1864/klagomålsmail/A 24374-2026 FSC-klagomål mail.docx", "A 24374-2026")</f>
        <v/>
      </c>
      <c r="AC21">
        <f>HYPERLINK("https://klasma.github.io/Logging_1864/tillsyn/A 24374-2026 tillsynsbegäran.docx", "A 24374-2026")</f>
        <v/>
      </c>
      <c r="AD21">
        <f>HYPERLINK("https://klasma.github.io/Logging_1864/tillsynsmail/A 24374-2026 tillsynsbegäran mail.docx", "A 24374-2026")</f>
        <v/>
      </c>
    </row>
    <row r="22" ht="15" customHeight="1">
      <c r="A22" t="inlineStr">
        <is>
          <t>A 45536-2024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45578</v>
      </c>
      <c r="E22" s="1" t="n">
        <v>46227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5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Tvåblad
Fläcknycklar</t>
        </is>
      </c>
      <c r="W22">
        <f>HYPERLINK("https://klasma.github.io/Logging_1864/artfynd/A 45536-2024 artfynd.xlsx", "A 45536-2024")</f>
        <v/>
      </c>
      <c r="X22">
        <f>HYPERLINK("https://klasma.github.io/Logging_1864/kartor/A 45536-2024 karta.png", "A 45536-2024")</f>
        <v/>
      </c>
      <c r="Y22">
        <f>HYPERLINK("https://klasma.github.io/Logging_1864/kartor_geotiff/A 45536-2024 georefererad karta.tif", "A 45536-2024")</f>
        <v/>
      </c>
      <c r="AA22">
        <f>HYPERLINK("https://klasma.github.io/Logging_1864/klagomål/A 45536-2024 FSC-klagomål.docx", "A 45536-2024")</f>
        <v/>
      </c>
      <c r="AB22">
        <f>HYPERLINK("https://klasma.github.io/Logging_1864/klagomålsmail/A 45536-2024 FSC-klagomål mail.docx", "A 45536-2024")</f>
        <v/>
      </c>
      <c r="AC22">
        <f>HYPERLINK("https://klasma.github.io/Logging_1864/tillsyn/A 45536-2024 tillsynsbegäran.docx", "A 45536-2024")</f>
        <v/>
      </c>
      <c r="AD22">
        <f>HYPERLINK("https://klasma.github.io/Logging_1864/tillsynsmail/A 45536-2024 tillsynsbegäran mail.docx", "A 45536-2024")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46227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24791-2024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45460</v>
      </c>
      <c r="E24" s="1" t="n">
        <v>46227</v>
      </c>
      <c r="F24" t="inlineStr">
        <is>
          <t>ÖREBRO LÄN</t>
        </is>
      </c>
      <c r="G24" t="inlineStr">
        <is>
          <t>LJUSNARSBERG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Spillkråka</t>
        </is>
      </c>
      <c r="W24">
        <f>HYPERLINK("https://klasma.github.io/Logging_1864/artfynd/A 24791-2024 artfynd.xlsx", "A 24791-2024")</f>
        <v/>
      </c>
      <c r="X24">
        <f>HYPERLINK("https://klasma.github.io/Logging_1864/kartor/A 24791-2024 karta.png", "A 24791-2024")</f>
        <v/>
      </c>
      <c r="Y24">
        <f>HYPERLINK("https://klasma.github.io/Logging_1864/kartor_geotiff/A 24791-2024 georefererad karta.tif", "A 24791-2024")</f>
        <v/>
      </c>
      <c r="AA24">
        <f>HYPERLINK("https://klasma.github.io/Logging_1864/klagomål/A 24791-2024 FSC-klagomål.docx", "A 24791-2024")</f>
        <v/>
      </c>
      <c r="AB24">
        <f>HYPERLINK("https://klasma.github.io/Logging_1864/klagomålsmail/A 24791-2024 FSC-klagomål mail.docx", "A 24791-2024")</f>
        <v/>
      </c>
      <c r="AC24">
        <f>HYPERLINK("https://klasma.github.io/Logging_1864/tillsyn/A 24791-2024 tillsynsbegäran.docx", "A 24791-2024")</f>
        <v/>
      </c>
      <c r="AD24">
        <f>HYPERLINK("https://klasma.github.io/Logging_1864/tillsynsmail/A 24791-2024 tillsynsbegäran mail.docx", "A 24791-2024")</f>
        <v/>
      </c>
      <c r="AE24">
        <f>HYPERLINK("https://klasma.github.io/Logging_1864/fåglar/A 24791-2024 prioriterade fågelarter.docx", "A 24791-2024")</f>
        <v/>
      </c>
    </row>
    <row r="25" ht="15" customHeight="1">
      <c r="A25" t="inlineStr">
        <is>
          <t>A 56179-2024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45623</v>
      </c>
      <c r="E25" s="1" t="n">
        <v>46227</v>
      </c>
      <c r="F25" t="inlineStr">
        <is>
          <t>ÖREBRO LÄN</t>
        </is>
      </c>
      <c r="G25" t="inlineStr">
        <is>
          <t>LJUSNARSBERG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Vedticka</t>
        </is>
      </c>
      <c r="W25">
        <f>HYPERLINK("https://klasma.github.io/Logging_1864/artfynd/A 56179-2024 artfynd.xlsx", "A 56179-2024")</f>
        <v/>
      </c>
      <c r="X25">
        <f>HYPERLINK("https://klasma.github.io/Logging_1864/kartor/A 56179-2024 karta.png", "A 56179-2024")</f>
        <v/>
      </c>
      <c r="Y25">
        <f>HYPERLINK("https://klasma.github.io/Logging_1864/kartor_geotiff/A 56179-2024 georefererad karta.tif", "A 56179-2024")</f>
        <v/>
      </c>
      <c r="AA25">
        <f>HYPERLINK("https://klasma.github.io/Logging_1864/klagomål/A 56179-2024 FSC-klagomål.docx", "A 56179-2024")</f>
        <v/>
      </c>
      <c r="AB25">
        <f>HYPERLINK("https://klasma.github.io/Logging_1864/klagomålsmail/A 56179-2024 FSC-klagomål mail.docx", "A 56179-2024")</f>
        <v/>
      </c>
      <c r="AC25">
        <f>HYPERLINK("https://klasma.github.io/Logging_1864/tillsyn/A 56179-2024 tillsynsbegäran.docx", "A 56179-2024")</f>
        <v/>
      </c>
      <c r="AD25">
        <f>HYPERLINK("https://klasma.github.io/Logging_1864/tillsynsmail/A 56179-2024 tillsynsbegäran mail.docx", "A 56179-2024")</f>
        <v/>
      </c>
    </row>
    <row r="26" ht="15" customHeight="1">
      <c r="A26" t="inlineStr">
        <is>
          <t>A 56859-2025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45975</v>
      </c>
      <c r="E26" s="1" t="n">
        <v>46227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Större vattensalamander</t>
        </is>
      </c>
      <c r="W26">
        <f>HYPERLINK("https://klasma.github.io/Logging_1864/artfynd/A 56859-2025 artfynd.xlsx", "A 56859-2025")</f>
        <v/>
      </c>
      <c r="X26">
        <f>HYPERLINK("https://klasma.github.io/Logging_1864/kartor/A 56859-2025 karta.png", "A 56859-2025")</f>
        <v/>
      </c>
      <c r="Y26">
        <f>HYPERLINK("https://klasma.github.io/Logging_1864/kartor_geotiff/A 56859-2025 georefererad karta.tif", "A 56859-2025")</f>
        <v/>
      </c>
      <c r="AA26">
        <f>HYPERLINK("https://klasma.github.io/Logging_1864/klagomål/A 56859-2025 FSC-klagomål.docx", "A 56859-2025")</f>
        <v/>
      </c>
      <c r="AB26">
        <f>HYPERLINK("https://klasma.github.io/Logging_1864/klagomålsmail/A 56859-2025 FSC-klagomål mail.docx", "A 56859-2025")</f>
        <v/>
      </c>
      <c r="AC26">
        <f>HYPERLINK("https://klasma.github.io/Logging_1864/tillsyn/A 56859-2025 tillsynsbegäran.docx", "A 56859-2025")</f>
        <v/>
      </c>
      <c r="AD26">
        <f>HYPERLINK("https://klasma.github.io/Logging_1864/tillsynsmail/A 56859-2025 tillsynsbegäran mail.docx", "A 56859-2025")</f>
        <v/>
      </c>
    </row>
    <row r="27" ht="15" customHeight="1">
      <c r="A27" t="inlineStr">
        <is>
          <t>A 20797-2022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44701</v>
      </c>
      <c r="E27" s="1" t="n">
        <v>46227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HYPERLINK("https://klasma.github.io/Logging_1864/artfynd/A 20797-2022 artfynd.xlsx", "A 20797-2022")</f>
        <v/>
      </c>
      <c r="X27">
        <f>HYPERLINK("https://klasma.github.io/Logging_1864/kartor/A 20797-2022 karta.png", "A 20797-2022")</f>
        <v/>
      </c>
      <c r="Y27">
        <f>HYPERLINK("https://klasma.github.io/Logging_1864/kartor_geotiff/A 20797-2022 georefererad karta.tif", "A 20797-2022")</f>
        <v/>
      </c>
      <c r="AA27">
        <f>HYPERLINK("https://klasma.github.io/Logging_1864/klagomål/A 20797-2022 FSC-klagomål.docx", "A 20797-2022")</f>
        <v/>
      </c>
      <c r="AB27">
        <f>HYPERLINK("https://klasma.github.io/Logging_1864/klagomålsmail/A 20797-2022 FSC-klagomål mail.docx", "A 20797-2022")</f>
        <v/>
      </c>
      <c r="AC27">
        <f>HYPERLINK("https://klasma.github.io/Logging_1864/tillsyn/A 20797-2022 tillsynsbegäran.docx", "A 20797-2022")</f>
        <v/>
      </c>
      <c r="AD27">
        <f>HYPERLINK("https://klasma.github.io/Logging_1864/tillsynsmail/A 20797-2022 tillsynsbegäran mail.docx", "A 20797-2022")</f>
        <v/>
      </c>
    </row>
    <row r="28" ht="15" customHeight="1">
      <c r="A28" t="inlineStr">
        <is>
          <t>A 19940-2026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46136</v>
      </c>
      <c r="E28" s="1" t="n">
        <v>46227</v>
      </c>
      <c r="F28" t="inlineStr">
        <is>
          <t>ÖREBRO LÄN</t>
        </is>
      </c>
      <c r="G28" t="inlineStr">
        <is>
          <t>LJUSNARSBERG</t>
        </is>
      </c>
      <c r="H28" t="inlineStr">
        <is>
          <t>Sveaskog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HYPERLINK("https://klasma.github.io/Logging_1864/artfynd/A 19940-2026 artfynd.xlsx", "A 19940-2026")</f>
        <v/>
      </c>
      <c r="X28">
        <f>HYPERLINK("https://klasma.github.io/Logging_1864/kartor/A 19940-2026 karta.png", "A 19940-2026")</f>
        <v/>
      </c>
      <c r="Y28">
        <f>HYPERLINK("https://klasma.github.io/Logging_1864/kartor_geotiff/A 19940-2026 georefererad karta.tif", "A 19940-2026")</f>
        <v/>
      </c>
      <c r="AA28">
        <f>HYPERLINK("https://klasma.github.io/Logging_1864/klagomål/A 19940-2026 FSC-klagomål.docx", "A 19940-2026")</f>
        <v/>
      </c>
      <c r="AB28">
        <f>HYPERLINK("https://klasma.github.io/Logging_1864/klagomålsmail/A 19940-2026 FSC-klagomål mail.docx", "A 19940-2026")</f>
        <v/>
      </c>
      <c r="AC28">
        <f>HYPERLINK("https://klasma.github.io/Logging_1864/tillsyn/A 19940-2026 tillsynsbegäran.docx", "A 19940-2026")</f>
        <v/>
      </c>
      <c r="AD28">
        <f>HYPERLINK("https://klasma.github.io/Logging_1864/tillsynsmail/A 19940-2026 tillsynsbegäran mail.docx", "A 19940-2026")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46227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A 18857-2026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46127</v>
      </c>
      <c r="E30" s="1" t="n">
        <v>46227</v>
      </c>
      <c r="F30" t="inlineStr">
        <is>
          <t>ÖREBRO LÄN</t>
        </is>
      </c>
      <c r="G30" t="inlineStr">
        <is>
          <t>LJUSNARSBERG</t>
        </is>
      </c>
      <c r="I30" t="n">
        <v>5.1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Trana</t>
        </is>
      </c>
      <c r="W30">
        <f>HYPERLINK("https://klasma.github.io/Logging_1864/artfynd/A 18857-2026 artfynd.xlsx", "A 18857-2026")</f>
        <v/>
      </c>
      <c r="X30">
        <f>HYPERLINK("https://klasma.github.io/Logging_1864/kartor/A 18857-2026 karta.png", "A 18857-2026")</f>
        <v/>
      </c>
      <c r="Y30">
        <f>HYPERLINK("https://klasma.github.io/Logging_1864/kartor_geotiff/A 18857-2026 georefererad karta.tif", "A 18857-2026")</f>
        <v/>
      </c>
      <c r="AA30">
        <f>HYPERLINK("https://klasma.github.io/Logging_1864/klagomål/A 18857-2026 FSC-klagomål.docx", "A 18857-2026")</f>
        <v/>
      </c>
      <c r="AB30">
        <f>HYPERLINK("https://klasma.github.io/Logging_1864/klagomålsmail/A 18857-2026 FSC-klagomål mail.docx", "A 18857-2026")</f>
        <v/>
      </c>
      <c r="AC30">
        <f>HYPERLINK("https://klasma.github.io/Logging_1864/tillsyn/A 18857-2026 tillsynsbegäran.docx", "A 18857-2026")</f>
        <v/>
      </c>
      <c r="AD30">
        <f>HYPERLINK("https://klasma.github.io/Logging_1864/tillsynsmail/A 18857-2026 tillsynsbegäran mail.docx", "A 18857-2026")</f>
        <v/>
      </c>
      <c r="AE30">
        <f>HYPERLINK("https://klasma.github.io/Logging_1864/fåglar/A 18857-2026 prioriterade fågelarter.docx", "A 18857-2026")</f>
        <v/>
      </c>
    </row>
    <row r="31" ht="15" customHeight="1">
      <c r="A31" t="inlineStr">
        <is>
          <t>A 24299-2026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46227</v>
      </c>
      <c r="F31" t="inlineStr">
        <is>
          <t>ÖREBRO LÄN</t>
        </is>
      </c>
      <c r="G31" t="inlineStr">
        <is>
          <t>LJUSNARSBERG</t>
        </is>
      </c>
      <c r="I31" t="n">
        <v>10.8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HYPERLINK("https://klasma.github.io/Logging_1864/artfynd/A 24299-2026 artfynd.xlsx", "A 24299-2026")</f>
        <v/>
      </c>
      <c r="X31">
        <f>HYPERLINK("https://klasma.github.io/Logging_1864/kartor/A 24299-2026 karta.png", "A 24299-2026")</f>
        <v/>
      </c>
      <c r="Y31">
        <f>HYPERLINK("https://klasma.github.io/Logging_1864/kartor_geotiff/A 24299-2026 georefererad karta.tif", "A 24299-2026")</f>
        <v/>
      </c>
      <c r="AA31">
        <f>HYPERLINK("https://klasma.github.io/Logging_1864/klagomål/A 24299-2026 FSC-klagomål.docx", "A 24299-2026")</f>
        <v/>
      </c>
      <c r="AB31">
        <f>HYPERLINK("https://klasma.github.io/Logging_1864/klagomålsmail/A 24299-2026 FSC-klagomål mail.docx", "A 24299-2026")</f>
        <v/>
      </c>
      <c r="AC31">
        <f>HYPERLINK("https://klasma.github.io/Logging_1864/tillsyn/A 24299-2026 tillsynsbegäran.docx", "A 24299-2026")</f>
        <v/>
      </c>
      <c r="AD31">
        <f>HYPERLINK("https://klasma.github.io/Logging_1864/tillsynsmail/A 24299-2026 tillsynsbegäran mail.docx", "A 24299-2026")</f>
        <v/>
      </c>
      <c r="AE31">
        <f>HYPERLINK("https://klasma.github.io/Logging_1864/fåglar/A 24299-2026 prioriterade fågelarter.docx", "A 24299-2026")</f>
        <v/>
      </c>
    </row>
    <row r="32" ht="15" customHeight="1">
      <c r="A32" t="inlineStr">
        <is>
          <t>A 24348-2026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46227</v>
      </c>
      <c r="F32" t="inlineStr">
        <is>
          <t>ÖREBRO LÄN</t>
        </is>
      </c>
      <c r="G32" t="inlineStr">
        <is>
          <t>LJUSNARSBERG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HYPERLINK("https://klasma.github.io/Logging_1864/artfynd/A 24348-2026 artfynd.xlsx", "A 24348-2026")</f>
        <v/>
      </c>
      <c r="X32">
        <f>HYPERLINK("https://klasma.github.io/Logging_1864/kartor/A 24348-2026 karta.png", "A 24348-2026")</f>
        <v/>
      </c>
      <c r="Y32">
        <f>HYPERLINK("https://klasma.github.io/Logging_1864/kartor_geotiff/A 24348-2026 georefererad karta.tif", "A 24348-2026")</f>
        <v/>
      </c>
      <c r="AA32">
        <f>HYPERLINK("https://klasma.github.io/Logging_1864/klagomål/A 24348-2026 FSC-klagomål.docx", "A 24348-2026")</f>
        <v/>
      </c>
      <c r="AB32">
        <f>HYPERLINK("https://klasma.github.io/Logging_1864/klagomålsmail/A 24348-2026 FSC-klagomål mail.docx", "A 24348-2026")</f>
        <v/>
      </c>
      <c r="AC32">
        <f>HYPERLINK("https://klasma.github.io/Logging_1864/tillsyn/A 24348-2026 tillsynsbegäran.docx", "A 24348-2026")</f>
        <v/>
      </c>
      <c r="AD32">
        <f>HYPERLINK("https://klasma.github.io/Logging_1864/tillsynsmail/A 24348-2026 tillsynsbegäran mail.docx", "A 24348-2026")</f>
        <v/>
      </c>
      <c r="AE32">
        <f>HYPERLINK("https://klasma.github.io/Logging_1864/fåglar/A 24348-2026 prioriterade fågelarter.docx", "A 24348-2026")</f>
        <v/>
      </c>
    </row>
    <row r="33" ht="15" customHeight="1">
      <c r="A33" t="inlineStr">
        <is>
          <t>A 45537-2024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45578</v>
      </c>
      <c r="E33" s="1" t="n">
        <v>46227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4.3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HYPERLINK("https://klasma.github.io/Logging_1864/artfynd/A 45537-2024 artfynd.xlsx", "A 45537-2024")</f>
        <v/>
      </c>
      <c r="X33">
        <f>HYPERLINK("https://klasma.github.io/Logging_1864/kartor/A 45537-2024 karta.png", "A 45537-2024")</f>
        <v/>
      </c>
      <c r="Y33">
        <f>HYPERLINK("https://klasma.github.io/Logging_1864/kartor_geotiff/A 45537-2024 georefererad karta.tif", "A 45537-2024")</f>
        <v/>
      </c>
      <c r="AA33">
        <f>HYPERLINK("https://klasma.github.io/Logging_1864/klagomål/A 45537-2024 FSC-klagomål.docx", "A 45537-2024")</f>
        <v/>
      </c>
      <c r="AB33">
        <f>HYPERLINK("https://klasma.github.io/Logging_1864/klagomålsmail/A 45537-2024 FSC-klagomål mail.docx", "A 45537-2024")</f>
        <v/>
      </c>
      <c r="AC33">
        <f>HYPERLINK("https://klasma.github.io/Logging_1864/tillsyn/A 45537-2024 tillsynsbegäran.docx", "A 45537-2024")</f>
        <v/>
      </c>
      <c r="AD33">
        <f>HYPERLINK("https://klasma.github.io/Logging_1864/tillsynsmail/A 45537-2024 tillsynsbegäran mail.docx", "A 45537-2024")</f>
        <v/>
      </c>
    </row>
    <row r="34" ht="15" customHeight="1">
      <c r="A34" t="inlineStr">
        <is>
          <t>S 3758-2024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45555</v>
      </c>
      <c r="E34" s="1" t="n">
        <v>46227</v>
      </c>
      <c r="F34" t="inlineStr">
        <is>
          <t>ÖREBRO LÄN</t>
        </is>
      </c>
      <c r="G34" t="inlineStr">
        <is>
          <t>LJUSNARSBERG</t>
        </is>
      </c>
      <c r="H34" t="inlineStr">
        <is>
          <t>Bergvik skog väst AB</t>
        </is>
      </c>
      <c r="I34" t="n">
        <v>14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Bårdlav</t>
        </is>
      </c>
      <c r="W34">
        <f>HYPERLINK("https://klasma.github.io/Logging_1864/artfynd/S 3758-2024 artfynd.xlsx", "S 3758-2024")</f>
        <v/>
      </c>
      <c r="X34">
        <f>HYPERLINK("https://klasma.github.io/Logging_1864/kartor/S 3758-2024 karta.png", "S 3758-2024")</f>
        <v/>
      </c>
      <c r="Y34">
        <f>HYPERLINK("https://klasma.github.io/Logging_1864/kartor_geotiff/S 3758-2024 georefererad karta.tif", "S 3758-2024")</f>
        <v/>
      </c>
      <c r="AA34">
        <f>HYPERLINK("https://klasma.github.io/Logging_1864/klagomål/S 3758-2024 FSC-klagomål.docx", "S 3758-2024")</f>
        <v/>
      </c>
      <c r="AB34">
        <f>HYPERLINK("https://klasma.github.io/Logging_1864/klagomålsmail/S 3758-2024 FSC-klagomål mail.docx", "S 3758-2024")</f>
        <v/>
      </c>
      <c r="AC34">
        <f>HYPERLINK("https://klasma.github.io/Logging_1864/tillsyn/S 3758-2024 tillsynsbegäran.docx", "S 3758-2024")</f>
        <v/>
      </c>
      <c r="AD34">
        <f>HYPERLINK("https://klasma.github.io/Logging_1864/tillsynsmail/S 3758-2024 tillsynsbegäran mail.docx", "S 3758-2024")</f>
        <v/>
      </c>
    </row>
    <row r="35" ht="15" customHeight="1">
      <c r="A35" t="inlineStr">
        <is>
          <t>A 64400-2021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46227</v>
      </c>
      <c r="F35" t="inlineStr">
        <is>
          <t>ÖREBRO LÄN</t>
        </is>
      </c>
      <c r="G35" t="inlineStr">
        <is>
          <t>LJUSNARSBERG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44858-2021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44438</v>
      </c>
      <c r="E36" s="1" t="n">
        <v>46227</v>
      </c>
      <c r="F36" t="inlineStr">
        <is>
          <t>ÖREBRO LÄN</t>
        </is>
      </c>
      <c r="G36" t="inlineStr">
        <is>
          <t>LJUSNARSBERG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45859-2021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44441</v>
      </c>
      <c r="E37" s="1" t="n">
        <v>46227</v>
      </c>
      <c r="F37" t="inlineStr">
        <is>
          <t>ÖREBRO LÄN</t>
        </is>
      </c>
      <c r="G37" t="inlineStr">
        <is>
          <t>LJUSNARSBERG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72157-2021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44544</v>
      </c>
      <c r="E38" s="1" t="n">
        <v>46227</v>
      </c>
      <c r="F38" t="inlineStr">
        <is>
          <t>ÖREBRO LÄN</t>
        </is>
      </c>
      <c r="G38" t="inlineStr">
        <is>
          <t>LJUSNARSBERG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64978-2021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44513</v>
      </c>
      <c r="E39" s="1" t="n">
        <v>46227</v>
      </c>
      <c r="F39" t="inlineStr">
        <is>
          <t>ÖREBRO LÄN</t>
        </is>
      </c>
      <c r="G39" t="inlineStr">
        <is>
          <t>LJUSNARSBERG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46227</v>
      </c>
      <c r="F40" t="inlineStr">
        <is>
          <t>ÖREBRO LÄN</t>
        </is>
      </c>
      <c r="G40" t="inlineStr">
        <is>
          <t>LJUSNARSBERG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46227</v>
      </c>
      <c r="F41" t="inlineStr">
        <is>
          <t>ÖREBRO LÄN</t>
        </is>
      </c>
      <c r="G41" t="inlineStr">
        <is>
          <t>LJUSNARSBERG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44293-2021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44435</v>
      </c>
      <c r="E42" s="1" t="n">
        <v>46227</v>
      </c>
      <c r="F42" t="inlineStr">
        <is>
          <t>ÖREBRO LÄN</t>
        </is>
      </c>
      <c r="G42" t="inlineStr">
        <is>
          <t>LJUSNARSBERG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39187-2021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44412</v>
      </c>
      <c r="E43" s="1" t="n">
        <v>46227</v>
      </c>
      <c r="F43" t="inlineStr">
        <is>
          <t>ÖREBRO LÄN</t>
        </is>
      </c>
      <c r="G43" t="inlineStr">
        <is>
          <t>LJUSNARSBERG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44595</v>
      </c>
      <c r="E44" s="1" t="n">
        <v>46227</v>
      </c>
      <c r="F44" t="inlineStr">
        <is>
          <t>ÖREBRO LÄN</t>
        </is>
      </c>
      <c r="G44" t="inlineStr">
        <is>
          <t>LJUSNARSBERG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25773-2022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44733</v>
      </c>
      <c r="E45" s="1" t="n">
        <v>46227</v>
      </c>
      <c r="F45" t="inlineStr">
        <is>
          <t>ÖREBRO LÄN</t>
        </is>
      </c>
      <c r="G45" t="inlineStr">
        <is>
          <t>LJUSNARSBERG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46227</v>
      </c>
      <c r="F46" t="inlineStr">
        <is>
          <t>ÖREBRO LÄN</t>
        </is>
      </c>
      <c r="G46" t="inlineStr">
        <is>
          <t>LJUSNARSBERG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44690</v>
      </c>
      <c r="E47" s="1" t="n">
        <v>46227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50552-2022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44866</v>
      </c>
      <c r="E48" s="1" t="n">
        <v>46227</v>
      </c>
      <c r="F48" t="inlineStr">
        <is>
          <t>ÖREBRO LÄN</t>
        </is>
      </c>
      <c r="G48" t="inlineStr">
        <is>
          <t>LJUSNARSBERG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44282-2021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44435</v>
      </c>
      <c r="E49" s="1" t="n">
        <v>46227</v>
      </c>
      <c r="F49" t="inlineStr">
        <is>
          <t>ÖREBRO LÄN</t>
        </is>
      </c>
      <c r="G49" t="inlineStr">
        <is>
          <t>LJUSNARSBERG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44778</v>
      </c>
      <c r="E50" s="1" t="n">
        <v>46227</v>
      </c>
      <c r="F50" t="inlineStr">
        <is>
          <t>ÖREBRO LÄN</t>
        </is>
      </c>
      <c r="G50" t="inlineStr">
        <is>
          <t>LJUSNARSBERG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44790</v>
      </c>
      <c r="E51" s="1" t="n">
        <v>46227</v>
      </c>
      <c r="F51" t="inlineStr">
        <is>
          <t>ÖREBRO LÄN</t>
        </is>
      </c>
      <c r="G51" t="inlineStr">
        <is>
          <t>LJUSNARSBERG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44812</v>
      </c>
      <c r="E52" s="1" t="n">
        <v>46227</v>
      </c>
      <c r="F52" t="inlineStr">
        <is>
          <t>ÖREBRO LÄN</t>
        </is>
      </c>
      <c r="G52" t="inlineStr">
        <is>
          <t>LJUSNARSBERG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62810-2021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46227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5.7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46227</v>
      </c>
      <c r="F54" t="inlineStr">
        <is>
          <t>ÖREBRO LÄN</t>
        </is>
      </c>
      <c r="G54" t="inlineStr">
        <is>
          <t>LJUSNARSBERG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13803-2024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45390</v>
      </c>
      <c r="E55" s="1" t="n">
        <v>46227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17.8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18975-2025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45764</v>
      </c>
      <c r="E56" s="1" t="n">
        <v>46227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51693-2025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45951</v>
      </c>
      <c r="E57" s="1" t="n">
        <v>46227</v>
      </c>
      <c r="F57" t="inlineStr">
        <is>
          <t>ÖREBRO LÄN</t>
        </is>
      </c>
      <c r="G57" t="inlineStr">
        <is>
          <t>LJUSNARSBERG</t>
        </is>
      </c>
      <c r="I57" t="n">
        <v>10.8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46227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45103</v>
      </c>
      <c r="E59" s="1" t="n">
        <v>46227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10.4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31357-2025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46227</v>
      </c>
      <c r="F60" t="inlineStr">
        <is>
          <t>ÖREBRO LÄN</t>
        </is>
      </c>
      <c r="G60" t="inlineStr">
        <is>
          <t>LJUSNARSBERG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44468</v>
      </c>
      <c r="E61" s="1" t="n">
        <v>46227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28778-2024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46227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13389-2024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45387</v>
      </c>
      <c r="E63" s="1" t="n">
        <v>46227</v>
      </c>
      <c r="F63" t="inlineStr">
        <is>
          <t>ÖREBRO LÄN</t>
        </is>
      </c>
      <c r="G63" t="inlineStr">
        <is>
          <t>LJUSNARSBERG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6313-2025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45698</v>
      </c>
      <c r="E64" s="1" t="n">
        <v>46227</v>
      </c>
      <c r="F64" t="inlineStr">
        <is>
          <t>ÖREBRO LÄN</t>
        </is>
      </c>
      <c r="G64" t="inlineStr">
        <is>
          <t>LJUSNARSBERG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44780-2024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45574</v>
      </c>
      <c r="E65" s="1" t="n">
        <v>46227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48780-2024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45593</v>
      </c>
      <c r="E66" s="1" t="n">
        <v>46227</v>
      </c>
      <c r="F66" t="inlineStr">
        <is>
          <t>ÖREBRO LÄN</t>
        </is>
      </c>
      <c r="G66" t="inlineStr">
        <is>
          <t>LJUSNARSBERG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30172-2023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45110</v>
      </c>
      <c r="E67" s="1" t="n">
        <v>46227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34926-2023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45142</v>
      </c>
      <c r="E68" s="1" t="n">
        <v>46227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30774-2023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45112</v>
      </c>
      <c r="E69" s="1" t="n">
        <v>46227</v>
      </c>
      <c r="F69" t="inlineStr">
        <is>
          <t>ÖREBRO LÄN</t>
        </is>
      </c>
      <c r="G69" t="inlineStr">
        <is>
          <t>LJUSNARSBERG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17923-2024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45419</v>
      </c>
      <c r="E70" s="1" t="n">
        <v>46227</v>
      </c>
      <c r="F70" t="inlineStr">
        <is>
          <t>ÖREBRO LÄN</t>
        </is>
      </c>
      <c r="G70" t="inlineStr">
        <is>
          <t>LJUSNARSBERG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17924-2024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45419</v>
      </c>
      <c r="E71" s="1" t="n">
        <v>46227</v>
      </c>
      <c r="F71" t="inlineStr">
        <is>
          <t>ÖREBRO LÄN</t>
        </is>
      </c>
      <c r="G71" t="inlineStr">
        <is>
          <t>LJUSNARSBERG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33974-2023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45124</v>
      </c>
      <c r="E72" s="1" t="n">
        <v>46227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33979-2023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45124</v>
      </c>
      <c r="E73" s="1" t="n">
        <v>46227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45347</v>
      </c>
      <c r="E74" s="1" t="n">
        <v>46227</v>
      </c>
      <c r="F74" t="inlineStr">
        <is>
          <t>ÖREBRO LÄN</t>
        </is>
      </c>
      <c r="G74" t="inlineStr">
        <is>
          <t>LJUSNARSBERG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44956</v>
      </c>
      <c r="E75" s="1" t="n">
        <v>46227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5.4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45106</v>
      </c>
      <c r="E76" s="1" t="n">
        <v>46227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24385-2025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45797</v>
      </c>
      <c r="E77" s="1" t="n">
        <v>46227</v>
      </c>
      <c r="F77" t="inlineStr">
        <is>
          <t>ÖREBRO LÄN</t>
        </is>
      </c>
      <c r="G77" t="inlineStr">
        <is>
          <t>LJUSNARSBERG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53789-2022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46227</v>
      </c>
      <c r="F78" t="inlineStr">
        <is>
          <t>ÖREBRO LÄN</t>
        </is>
      </c>
      <c r="G78" t="inlineStr">
        <is>
          <t>LJUSNARSBERG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45825</v>
      </c>
      <c r="E79" s="1" t="n">
        <v>46227</v>
      </c>
      <c r="F79" t="inlineStr">
        <is>
          <t>ÖREBRO LÄN</t>
        </is>
      </c>
      <c r="G79" t="inlineStr">
        <is>
          <t>LJUSNARSBERG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40477-2025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45895</v>
      </c>
      <c r="E80" s="1" t="n">
        <v>46227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11.9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46227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59497-2024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45638</v>
      </c>
      <c r="E82" s="1" t="n">
        <v>46227</v>
      </c>
      <c r="F82" t="inlineStr">
        <is>
          <t>ÖREBRO LÄN</t>
        </is>
      </c>
      <c r="G82" t="inlineStr">
        <is>
          <t>LJUSNARSBERG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40852-2025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46227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8.699999999999999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26469-2025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45807</v>
      </c>
      <c r="E84" s="1" t="n">
        <v>46227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22887-2024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45448</v>
      </c>
      <c r="E85" s="1" t="n">
        <v>46227</v>
      </c>
      <c r="F85" t="inlineStr">
        <is>
          <t>ÖREBRO LÄN</t>
        </is>
      </c>
      <c r="G85" t="inlineStr">
        <is>
          <t>LJUSNARSBERG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41032-2025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46227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20673-2025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45776</v>
      </c>
      <c r="E87" s="1" t="n">
        <v>46227</v>
      </c>
      <c r="F87" t="inlineStr">
        <is>
          <t>ÖREBRO LÄN</t>
        </is>
      </c>
      <c r="G87" t="inlineStr">
        <is>
          <t>LJUSNARSBERG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46227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8.199999999999999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40933-2025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46227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41017-2025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46227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41420-2025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46227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46227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12482-2023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44999</v>
      </c>
      <c r="E93" s="1" t="n">
        <v>46227</v>
      </c>
      <c r="F93" t="inlineStr">
        <is>
          <t>ÖREBRO LÄN</t>
        </is>
      </c>
      <c r="G93" t="inlineStr">
        <is>
          <t>LJUSNARSBERG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37148-2023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45155</v>
      </c>
      <c r="E94" s="1" t="n">
        <v>46227</v>
      </c>
      <c r="F94" t="inlineStr">
        <is>
          <t>ÖREBRO LÄN</t>
        </is>
      </c>
      <c r="G94" t="inlineStr">
        <is>
          <t>LJUSNARSBERG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45578</v>
      </c>
      <c r="E95" s="1" t="n">
        <v>46227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46227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10.3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45826</v>
      </c>
      <c r="E97" s="1" t="n">
        <v>46227</v>
      </c>
      <c r="F97" t="inlineStr">
        <is>
          <t>ÖREBRO LÄN</t>
        </is>
      </c>
      <c r="G97" t="inlineStr">
        <is>
          <t>LJUSNARSBERG</t>
        </is>
      </c>
      <c r="H97" t="inlineStr">
        <is>
          <t>Sveaskog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44760-2024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45574</v>
      </c>
      <c r="E98" s="1" t="n">
        <v>46227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57400-2025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45980</v>
      </c>
      <c r="E99" s="1" t="n">
        <v>46227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8.5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29572-2025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45825</v>
      </c>
      <c r="E100" s="1" t="n">
        <v>46227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57392-2025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45980</v>
      </c>
      <c r="E101" s="1" t="n">
        <v>46227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45827</v>
      </c>
      <c r="E102" s="1" t="n">
        <v>46227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45827</v>
      </c>
      <c r="E103" s="1" t="n">
        <v>46227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30935-2025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45832</v>
      </c>
      <c r="E104" s="1" t="n">
        <v>46227</v>
      </c>
      <c r="F104" t="inlineStr">
        <is>
          <t>ÖREBRO LÄN</t>
        </is>
      </c>
      <c r="G104" t="inlineStr">
        <is>
          <t>LJUSNARSBERG</t>
        </is>
      </c>
      <c r="H104" t="inlineStr">
        <is>
          <t>Sveaskog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43078-2025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45909</v>
      </c>
      <c r="E105" s="1" t="n">
        <v>46227</v>
      </c>
      <c r="F105" t="inlineStr">
        <is>
          <t>ÖREBRO LÄN</t>
        </is>
      </c>
      <c r="G105" t="inlineStr">
        <is>
          <t>LJUSNARSBERG</t>
        </is>
      </c>
      <c r="I105" t="n">
        <v>17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45575</v>
      </c>
      <c r="E106" s="1" t="n">
        <v>46227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44939</v>
      </c>
      <c r="E107" s="1" t="n">
        <v>46227</v>
      </c>
      <c r="F107" t="inlineStr">
        <is>
          <t>ÖREBRO LÄN</t>
        </is>
      </c>
      <c r="G107" t="inlineStr">
        <is>
          <t>LJUSNARSBERG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33622-2025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46227</v>
      </c>
      <c r="F108" t="inlineStr">
        <is>
          <t>ÖREBRO LÄN</t>
        </is>
      </c>
      <c r="G108" t="inlineStr">
        <is>
          <t>LJUSNARSBERG</t>
        </is>
      </c>
      <c r="H108" t="inlineStr">
        <is>
          <t>Kyrkan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46805-2024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45583</v>
      </c>
      <c r="E109" s="1" t="n">
        <v>46227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44479-2025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45916</v>
      </c>
      <c r="E110" s="1" t="n">
        <v>46227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40864-2025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46227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58823-2022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44903</v>
      </c>
      <c r="E112" s="1" t="n">
        <v>46227</v>
      </c>
      <c r="F112" t="inlineStr">
        <is>
          <t>ÖREBRO LÄN</t>
        </is>
      </c>
      <c r="G112" t="inlineStr">
        <is>
          <t>LJUSNARSBERG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25574-2023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45089</v>
      </c>
      <c r="E113" s="1" t="n">
        <v>46227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45085</v>
      </c>
      <c r="E114" s="1" t="n">
        <v>46227</v>
      </c>
      <c r="F114" t="inlineStr">
        <is>
          <t>ÖREBRO LÄN</t>
        </is>
      </c>
      <c r="G114" t="inlineStr">
        <is>
          <t>LJUSNARSBERG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45659</v>
      </c>
      <c r="E115" s="1" t="n">
        <v>46227</v>
      </c>
      <c r="F115" t="inlineStr">
        <is>
          <t>ÖREBRO LÄN</t>
        </is>
      </c>
      <c r="G115" t="inlineStr">
        <is>
          <t>LJUSNARSBERG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18938-2022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44690</v>
      </c>
      <c r="E116" s="1" t="n">
        <v>46227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59629-2024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45638</v>
      </c>
      <c r="E117" s="1" t="n">
        <v>46227</v>
      </c>
      <c r="F117" t="inlineStr">
        <is>
          <t>ÖREBRO LÄN</t>
        </is>
      </c>
      <c r="G117" t="inlineStr">
        <is>
          <t>LJUSNARSBERG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46227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45107</v>
      </c>
      <c r="E119" s="1" t="n">
        <v>46227</v>
      </c>
      <c r="F119" t="inlineStr">
        <is>
          <t>ÖREBRO LÄN</t>
        </is>
      </c>
      <c r="G119" t="inlineStr">
        <is>
          <t>LJUSNARSBERG</t>
        </is>
      </c>
      <c r="H119" t="inlineStr">
        <is>
          <t>Sveaskog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46492-2025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46227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41610-2025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45901</v>
      </c>
      <c r="E121" s="1" t="n">
        <v>46227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44739</v>
      </c>
      <c r="E122" s="1" t="n">
        <v>46227</v>
      </c>
      <c r="F122" t="inlineStr">
        <is>
          <t>ÖREBRO LÄN</t>
        </is>
      </c>
      <c r="G122" t="inlineStr">
        <is>
          <t>LJUSNARSBERG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45930</v>
      </c>
      <c r="E123" s="1" t="n">
        <v>46227</v>
      </c>
      <c r="F123" t="inlineStr">
        <is>
          <t>ÖREBRO LÄN</t>
        </is>
      </c>
      <c r="G123" t="inlineStr">
        <is>
          <t>LJUSNARSBERG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46013</v>
      </c>
      <c r="E124" s="1" t="n">
        <v>46227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45769</v>
      </c>
      <c r="E125" s="1" t="n">
        <v>46227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59627-2024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45638</v>
      </c>
      <c r="E126" s="1" t="n">
        <v>46227</v>
      </c>
      <c r="F126" t="inlineStr">
        <is>
          <t>ÖREBRO LÄN</t>
        </is>
      </c>
      <c r="G126" t="inlineStr">
        <is>
          <t>LJUSNARSBERG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23346-2022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44720</v>
      </c>
      <c r="E127" s="1" t="n">
        <v>46227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17933-2024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45419</v>
      </c>
      <c r="E128" s="1" t="n">
        <v>46227</v>
      </c>
      <c r="F128" t="inlineStr">
        <is>
          <t>ÖREBRO LÄN</t>
        </is>
      </c>
      <c r="G128" t="inlineStr">
        <is>
          <t>LJUSNARSBERG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48501-2025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46227</v>
      </c>
      <c r="F129" t="inlineStr">
        <is>
          <t>ÖREBRO LÄN</t>
        </is>
      </c>
      <c r="G129" t="inlineStr">
        <is>
          <t>LJUSNARSBERG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48534-2025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45934</v>
      </c>
      <c r="E130" s="1" t="n">
        <v>46227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45934</v>
      </c>
      <c r="E131" s="1" t="n">
        <v>46227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23372-2022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44720</v>
      </c>
      <c r="E132" s="1" t="n">
        <v>46227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46227</v>
      </c>
      <c r="F133" t="inlineStr">
        <is>
          <t>ÖREBRO LÄN</t>
        </is>
      </c>
      <c r="G133" t="inlineStr">
        <is>
          <t>LJUSNARSBERG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45934</v>
      </c>
      <c r="E134" s="1" t="n">
        <v>46227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48506-2025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46227</v>
      </c>
      <c r="F135" t="inlineStr">
        <is>
          <t>ÖREBRO LÄN</t>
        </is>
      </c>
      <c r="G135" t="inlineStr">
        <is>
          <t>LJUSNARSBERG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48573-2025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45936</v>
      </c>
      <c r="E136" s="1" t="n">
        <v>46227</v>
      </c>
      <c r="F136" t="inlineStr">
        <is>
          <t>ÖREBRO LÄN</t>
        </is>
      </c>
      <c r="G136" t="inlineStr">
        <is>
          <t>LJUSNARSBERG</t>
        </is>
      </c>
      <c r="H136" t="inlineStr">
        <is>
          <t>Sveaskog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48204-2025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45933</v>
      </c>
      <c r="E137" s="1" t="n">
        <v>46227</v>
      </c>
      <c r="F137" t="inlineStr">
        <is>
          <t>ÖREBRO LÄN</t>
        </is>
      </c>
      <c r="G137" t="inlineStr">
        <is>
          <t>LJUSNARSBERG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48564-2025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45934</v>
      </c>
      <c r="E138" s="1" t="n">
        <v>46227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46227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50865-2025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45946</v>
      </c>
      <c r="E140" s="1" t="n">
        <v>46227</v>
      </c>
      <c r="F140" t="inlineStr">
        <is>
          <t>ÖREBRO LÄN</t>
        </is>
      </c>
      <c r="G140" t="inlineStr">
        <is>
          <t>LJUSNARSBERG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2667-2026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46037</v>
      </c>
      <c r="E141" s="1" t="n">
        <v>46227</v>
      </c>
      <c r="F141" t="inlineStr">
        <is>
          <t>ÖREBRO LÄN</t>
        </is>
      </c>
      <c r="G141" t="inlineStr">
        <is>
          <t>LJUSNARSBERG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44565</v>
      </c>
      <c r="E142" s="1" t="n">
        <v>46227</v>
      </c>
      <c r="F142" t="inlineStr">
        <is>
          <t>ÖREBRO LÄN</t>
        </is>
      </c>
      <c r="G142" t="inlineStr">
        <is>
          <t>LJUSNARSBERG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46049</v>
      </c>
      <c r="E143" s="1" t="n">
        <v>46227</v>
      </c>
      <c r="F143" t="inlineStr">
        <is>
          <t>ÖREBRO LÄN</t>
        </is>
      </c>
      <c r="G143" t="inlineStr">
        <is>
          <t>LJUSNARSBERG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52489-2022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46227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30414-2023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45111</v>
      </c>
      <c r="E145" s="1" t="n">
        <v>46227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12.8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46263-2021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44442</v>
      </c>
      <c r="E146" s="1" t="n">
        <v>46227</v>
      </c>
      <c r="F146" t="inlineStr">
        <is>
          <t>ÖREBRO LÄN</t>
        </is>
      </c>
      <c r="G146" t="inlineStr">
        <is>
          <t>LJUSNARSBERG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62667-2022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46227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44788-2021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44438</v>
      </c>
      <c r="E148" s="1" t="n">
        <v>46227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45086</v>
      </c>
      <c r="E149" s="1" t="n">
        <v>46227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14500-2024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45394</v>
      </c>
      <c r="E150" s="1" t="n">
        <v>46227</v>
      </c>
      <c r="F150" t="inlineStr">
        <is>
          <t>ÖREBRO LÄN</t>
        </is>
      </c>
      <c r="G150" t="inlineStr">
        <is>
          <t>LJUSNARSBERG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67746-2021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44524</v>
      </c>
      <c r="E151" s="1" t="n">
        <v>46227</v>
      </c>
      <c r="F151" t="inlineStr">
        <is>
          <t>ÖREBRO LÄN</t>
        </is>
      </c>
      <c r="G151" t="inlineStr">
        <is>
          <t>LJUSNARSBERG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44917</v>
      </c>
      <c r="E152" s="1" t="n">
        <v>46227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46082-2024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45581</v>
      </c>
      <c r="E153" s="1" t="n">
        <v>46227</v>
      </c>
      <c r="F153" t="inlineStr">
        <is>
          <t>ÖREBRO LÄN</t>
        </is>
      </c>
      <c r="G153" t="inlineStr">
        <is>
          <t>LJUSNARSBERG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44564</v>
      </c>
      <c r="E154" s="1" t="n">
        <v>46227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6.8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45583</v>
      </c>
      <c r="E155" s="1" t="n">
        <v>46227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25671-2024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45463</v>
      </c>
      <c r="E156" s="1" t="n">
        <v>46227</v>
      </c>
      <c r="F156" t="inlineStr">
        <is>
          <t>ÖREBRO LÄN</t>
        </is>
      </c>
      <c r="G156" t="inlineStr">
        <is>
          <t>LJUSNARSBERG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19738-2026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46133</v>
      </c>
      <c r="E157" s="1" t="n">
        <v>46227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14.5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19936-2026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46136</v>
      </c>
      <c r="E158" s="1" t="n">
        <v>46227</v>
      </c>
      <c r="F158" t="inlineStr">
        <is>
          <t>ÖREBRO LÄN</t>
        </is>
      </c>
      <c r="G158" t="inlineStr">
        <is>
          <t>LJUSNARSBERG</t>
        </is>
      </c>
      <c r="H158" t="inlineStr">
        <is>
          <t>Sveaskog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19937-2026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46136</v>
      </c>
      <c r="E159" s="1" t="n">
        <v>46227</v>
      </c>
      <c r="F159" t="inlineStr">
        <is>
          <t>ÖREBRO LÄN</t>
        </is>
      </c>
      <c r="G159" t="inlineStr">
        <is>
          <t>LJUSNARSBERG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45217</v>
      </c>
      <c r="E160" s="1" t="n">
        <v>46227</v>
      </c>
      <c r="F160" t="inlineStr">
        <is>
          <t>ÖREBRO LÄN</t>
        </is>
      </c>
      <c r="G160" t="inlineStr">
        <is>
          <t>LJUSNARSBERG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61794-2024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45649</v>
      </c>
      <c r="E161" s="1" t="n">
        <v>46227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46227</v>
      </c>
      <c r="F162" t="inlineStr">
        <is>
          <t>ÖREBRO LÄN</t>
        </is>
      </c>
      <c r="G162" t="inlineStr">
        <is>
          <t>LJUSNARSBERG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31295-2023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45103</v>
      </c>
      <c r="E163" s="1" t="n">
        <v>46227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46085-2024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45581</v>
      </c>
      <c r="E164" s="1" t="n">
        <v>46227</v>
      </c>
      <c r="F164" t="inlineStr">
        <is>
          <t>ÖREBRO LÄN</t>
        </is>
      </c>
      <c r="G164" t="inlineStr">
        <is>
          <t>LJUSNARSBERG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52366-2024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45608</v>
      </c>
      <c r="E165" s="1" t="n">
        <v>46227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36108-2024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45533</v>
      </c>
      <c r="E166" s="1" t="n">
        <v>46227</v>
      </c>
      <c r="F166" t="inlineStr">
        <is>
          <t>ÖREBRO LÄN</t>
        </is>
      </c>
      <c r="G166" t="inlineStr">
        <is>
          <t>LJUSNARSBERG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19857-2022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44694</v>
      </c>
      <c r="E167" s="1" t="n">
        <v>46227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45124</v>
      </c>
      <c r="E168" s="1" t="n">
        <v>46227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46227</v>
      </c>
      <c r="F169" t="inlineStr">
        <is>
          <t>ÖREBRO LÄN</t>
        </is>
      </c>
      <c r="G169" t="inlineStr">
        <is>
          <t>LJUSNARSBERG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46185</v>
      </c>
      <c r="E170" s="1" t="n">
        <v>46227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14.5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21186-2026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46146</v>
      </c>
      <c r="E171" s="1" t="n">
        <v>46227</v>
      </c>
      <c r="F171" t="inlineStr">
        <is>
          <t>ÖREBRO LÄN</t>
        </is>
      </c>
      <c r="G171" t="inlineStr">
        <is>
          <t>LJUSNARSBERG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45239</v>
      </c>
      <c r="E172" s="1" t="n">
        <v>46227</v>
      </c>
      <c r="F172" t="inlineStr">
        <is>
          <t>ÖREBRO LÄN</t>
        </is>
      </c>
      <c r="G172" t="inlineStr">
        <is>
          <t>LJUSNARSBERG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21202-2026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46146</v>
      </c>
      <c r="E173" s="1" t="n">
        <v>46227</v>
      </c>
      <c r="F173" t="inlineStr">
        <is>
          <t>ÖREBRO LÄN</t>
        </is>
      </c>
      <c r="G173" t="inlineStr">
        <is>
          <t>LJUSNARSBERG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33861-2022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44790</v>
      </c>
      <c r="E174" s="1" t="n">
        <v>46227</v>
      </c>
      <c r="F174" t="inlineStr">
        <is>
          <t>ÖREBRO LÄN</t>
        </is>
      </c>
      <c r="G174" t="inlineStr">
        <is>
          <t>LJUSNARSBERG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37066-2023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45155</v>
      </c>
      <c r="E175" s="1" t="n">
        <v>46227</v>
      </c>
      <c r="F175" t="inlineStr">
        <is>
          <t>ÖREBRO LÄN</t>
        </is>
      </c>
      <c r="G175" t="inlineStr">
        <is>
          <t>LJUSNARSBERG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46227</v>
      </c>
      <c r="F176" t="inlineStr">
        <is>
          <t>ÖREBRO LÄN</t>
        </is>
      </c>
      <c r="G176" t="inlineStr">
        <is>
          <t>LJUSNARSBERG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57129-2021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44482</v>
      </c>
      <c r="E177" s="1" t="n">
        <v>46227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17.8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22366-2026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46154</v>
      </c>
      <c r="E178" s="1" t="n">
        <v>46227</v>
      </c>
      <c r="F178" t="inlineStr">
        <is>
          <t>ÖREBRO LÄN</t>
        </is>
      </c>
      <c r="G178" t="inlineStr">
        <is>
          <t>LJUSNARSBERG</t>
        </is>
      </c>
      <c r="I178" t="n">
        <v>14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44999</v>
      </c>
      <c r="E179" s="1" t="n">
        <v>46227</v>
      </c>
      <c r="F179" t="inlineStr">
        <is>
          <t>ÖREBRO LÄN</t>
        </is>
      </c>
      <c r="G179" t="inlineStr">
        <is>
          <t>LJUSNARSBERG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15114-2024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45399</v>
      </c>
      <c r="E180" s="1" t="n">
        <v>46227</v>
      </c>
      <c r="F180" t="inlineStr">
        <is>
          <t>ÖREBRO LÄN</t>
        </is>
      </c>
      <c r="G180" t="inlineStr">
        <is>
          <t>LJUSNARSBERG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45839</v>
      </c>
      <c r="E181" s="1" t="n">
        <v>46227</v>
      </c>
      <c r="F181" t="inlineStr">
        <is>
          <t>ÖREBRO LÄN</t>
        </is>
      </c>
      <c r="G181" t="inlineStr">
        <is>
          <t>LJUSNARSBERG</t>
        </is>
      </c>
      <c r="H181" t="inlineStr">
        <is>
          <t>Kommuner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46146-2022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44847</v>
      </c>
      <c r="E182" s="1" t="n">
        <v>46227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53595-2024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45614</v>
      </c>
      <c r="E183" s="1" t="n">
        <v>46227</v>
      </c>
      <c r="F183" t="inlineStr">
        <is>
          <t>ÖREBRO LÄN</t>
        </is>
      </c>
      <c r="G183" t="inlineStr">
        <is>
          <t>LJUSNARSBERG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7903-2022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44607</v>
      </c>
      <c r="E184" s="1" t="n">
        <v>46227</v>
      </c>
      <c r="F184" t="inlineStr">
        <is>
          <t>ÖREBRO LÄN</t>
        </is>
      </c>
      <c r="G184" t="inlineStr">
        <is>
          <t>LJUSNARSBERG</t>
        </is>
      </c>
      <c r="H184" t="inlineStr">
        <is>
          <t>Kyrkan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62843-2021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46227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42761-2023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45177</v>
      </c>
      <c r="E186" s="1" t="n">
        <v>46227</v>
      </c>
      <c r="F186" t="inlineStr">
        <is>
          <t>ÖREBRO LÄN</t>
        </is>
      </c>
      <c r="G186" t="inlineStr">
        <is>
          <t>LJUSNARSBERG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61580-2023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45265</v>
      </c>
      <c r="E187" s="1" t="n">
        <v>46227</v>
      </c>
      <c r="F187" t="inlineStr">
        <is>
          <t>ÖREBRO LÄN</t>
        </is>
      </c>
      <c r="G187" t="inlineStr">
        <is>
          <t>LJUSNARSBERG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57090-2022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44895</v>
      </c>
      <c r="E188" s="1" t="n">
        <v>46227</v>
      </c>
      <c r="F188" t="inlineStr">
        <is>
          <t>ÖREBRO LÄN</t>
        </is>
      </c>
      <c r="G188" t="inlineStr">
        <is>
          <t>LJUSNARSBERG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46163</v>
      </c>
      <c r="E189" s="1" t="n">
        <v>46227</v>
      </c>
      <c r="F189" t="inlineStr">
        <is>
          <t>ÖREBRO LÄN</t>
        </is>
      </c>
      <c r="G189" t="inlineStr">
        <is>
          <t>LJUSNARSBERG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46167</v>
      </c>
      <c r="E190" s="1" t="n">
        <v>46227</v>
      </c>
      <c r="F190" t="inlineStr">
        <is>
          <t>ÖREBRO LÄN</t>
        </is>
      </c>
      <c r="G190" t="inlineStr">
        <is>
          <t>LJUSNARSBERG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46167</v>
      </c>
      <c r="E191" s="1" t="n">
        <v>46227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24350-2026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46167</v>
      </c>
      <c r="E192" s="1" t="n">
        <v>46227</v>
      </c>
      <c r="F192" t="inlineStr">
        <is>
          <t>ÖREBRO LÄN</t>
        </is>
      </c>
      <c r="G192" t="inlineStr">
        <is>
          <t>LJUSNARSBERG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46167</v>
      </c>
      <c r="E193" s="1" t="n">
        <v>46227</v>
      </c>
      <c r="F193" t="inlineStr">
        <is>
          <t>ÖREBRO LÄN</t>
        </is>
      </c>
      <c r="G193" t="inlineStr">
        <is>
          <t>LJUSNARSBERG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17276-2023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45035</v>
      </c>
      <c r="E194" s="1" t="n">
        <v>46227</v>
      </c>
      <c r="F194" t="inlineStr">
        <is>
          <t>ÖREBRO LÄN</t>
        </is>
      </c>
      <c r="G194" t="inlineStr">
        <is>
          <t>LJUSNARSBERG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45145</v>
      </c>
      <c r="E195" s="1" t="n">
        <v>46227</v>
      </c>
      <c r="F195" t="inlineStr">
        <is>
          <t>ÖREBRO LÄN</t>
        </is>
      </c>
      <c r="G195" t="inlineStr">
        <is>
          <t>LJUSNARSBERG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62421-2022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44916</v>
      </c>
      <c r="E196" s="1" t="n">
        <v>46227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45030</v>
      </c>
      <c r="E197" s="1" t="n">
        <v>46227</v>
      </c>
      <c r="F197" t="inlineStr">
        <is>
          <t>ÖREBRO LÄN</t>
        </is>
      </c>
      <c r="G197" t="inlineStr">
        <is>
          <t>LJUSNARSBERG</t>
        </is>
      </c>
      <c r="H197" t="inlineStr">
        <is>
          <t>Sveaskog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45539-2024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45578</v>
      </c>
      <c r="E198" s="1" t="n">
        <v>46227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26379-2026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46227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45106</v>
      </c>
      <c r="E200" s="1" t="n">
        <v>46227</v>
      </c>
      <c r="F200" t="inlineStr">
        <is>
          <t>ÖREBRO LÄN</t>
        </is>
      </c>
      <c r="G200" t="inlineStr">
        <is>
          <t>LJUSNARSBERG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31167-2023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45103</v>
      </c>
      <c r="E201" s="1" t="n">
        <v>46227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18932-2022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44690</v>
      </c>
      <c r="E202" s="1" t="n">
        <v>46227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59495-2024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45638</v>
      </c>
      <c r="E203" s="1" t="n">
        <v>46227</v>
      </c>
      <c r="F203" t="inlineStr">
        <is>
          <t>ÖREBRO LÄN</t>
        </is>
      </c>
      <c r="G203" t="inlineStr">
        <is>
          <t>LJUSNARSBERG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3541-2022</t>
        </is>
      </c>
      <c r="B204" t="inlineStr">
        <is>
          <t>samrådsanmälan</t>
        </is>
      </c>
      <c r="C204" t="inlineStr">
        <is>
          <t>Skogsbilväg</t>
        </is>
      </c>
      <c r="D204" s="1" t="n">
        <v>44734</v>
      </c>
      <c r="E204" s="1" t="n">
        <v>46227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10473-2021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44559</v>
      </c>
      <c r="E205" s="1" t="n">
        <v>46227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410-2022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44585</v>
      </c>
      <c r="E206" s="1" t="n">
        <v>46227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36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1099-2022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44615</v>
      </c>
      <c r="E207" s="1" t="n">
        <v>46227</v>
      </c>
      <c r="F207" t="inlineStr">
        <is>
          <t>ÖREBRO LÄN</t>
        </is>
      </c>
      <c r="G207" t="inlineStr">
        <is>
          <t>LJUSNARSBERG</t>
        </is>
      </c>
      <c r="H207" t="inlineStr">
        <is>
          <t>Sveaskog</t>
        </is>
      </c>
      <c r="I207" t="n">
        <v>147.4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880-2024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45376</v>
      </c>
      <c r="E208" s="1" t="n">
        <v>46227</v>
      </c>
      <c r="F208" t="inlineStr">
        <is>
          <t>ÖREBRO LÄN</t>
        </is>
      </c>
      <c r="G208" t="inlineStr">
        <is>
          <t>LJUSNARSBERG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3528-2023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45205</v>
      </c>
      <c r="E209" s="1" t="n">
        <v>46227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39.4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7278-2021</t>
        </is>
      </c>
      <c r="B210" t="inlineStr">
        <is>
          <t>samrådsanmälan</t>
        </is>
      </c>
      <c r="C210" t="inlineStr">
        <is>
          <t>Åtgärd i nyckelbiotop</t>
        </is>
      </c>
      <c r="D210" s="1" t="n">
        <v>44467</v>
      </c>
      <c r="E210" s="1" t="n">
        <v>46227</v>
      </c>
      <c r="F210" t="inlineStr">
        <is>
          <t>ÖREBRO LÄN</t>
        </is>
      </c>
      <c r="G210" t="inlineStr">
        <is>
          <t>LJUSNARSBERG</t>
        </is>
      </c>
      <c r="H210" t="inlineStr">
        <is>
          <t>Kommuner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4521-2023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45275</v>
      </c>
      <c r="E211" s="1" t="n">
        <v>46227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7277-2021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44467</v>
      </c>
      <c r="E212" s="1" t="n">
        <v>46227</v>
      </c>
      <c r="F212" t="inlineStr">
        <is>
          <t>ÖREBRO LÄN</t>
        </is>
      </c>
      <c r="G212" t="inlineStr">
        <is>
          <t>LJUSNARSBERG</t>
        </is>
      </c>
      <c r="H212" t="inlineStr">
        <is>
          <t>Kommuner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2836-2023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45167</v>
      </c>
      <c r="E213" s="1" t="n">
        <v>46227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707-2025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45720</v>
      </c>
      <c r="E214" s="1" t="n">
        <v>46227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162.6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1972-2025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45832</v>
      </c>
      <c r="E215" s="1" t="n">
        <v>46227</v>
      </c>
      <c r="F215" t="inlineStr">
        <is>
          <t>ÖREBRO LÄN</t>
        </is>
      </c>
      <c r="G215" t="inlineStr">
        <is>
          <t>LJUSNARSBERG</t>
        </is>
      </c>
      <c r="H215" t="inlineStr">
        <is>
          <t>Sveaskog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3578-2025</t>
        </is>
      </c>
      <c r="B216" t="inlineStr">
        <is>
          <t>samrådsanmälan</t>
        </is>
      </c>
      <c r="C216" t="inlineStr">
        <is>
          <t>Skogsgödsling</t>
        </is>
      </c>
      <c r="D216" s="1" t="n">
        <v>46010</v>
      </c>
      <c r="E216" s="1" t="n">
        <v>46227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24.4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603-2026</t>
        </is>
      </c>
      <c r="B217" t="inlineStr">
        <is>
          <t>samrådsanmälan</t>
        </is>
      </c>
      <c r="C217" t="inlineStr">
        <is>
          <t>Skogsgödsling</t>
        </is>
      </c>
      <c r="D217" s="1" t="n">
        <v>46085</v>
      </c>
      <c r="E217" s="1" t="n">
        <v>46227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125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1743-2026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46185</v>
      </c>
      <c r="E218" s="1" t="n">
        <v>46227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16.8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1624-2026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46174</v>
      </c>
      <c r="E219" s="1" t="n">
        <v>46227</v>
      </c>
      <c r="F219" t="inlineStr">
        <is>
          <t>ÖREBRO LÄN</t>
        </is>
      </c>
      <c r="G219" t="inlineStr">
        <is>
          <t>LJUSNARSBERG</t>
        </is>
      </c>
      <c r="H219" t="inlineStr">
        <is>
          <t>Bergvik skog väst AB</t>
        </is>
      </c>
      <c r="I219" t="n">
        <v>23.6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2026-07-24T01:48:41Z</dcterms:created>
  <dcterms:modified xmlns:dcterms="http://purl.org/dc/terms/" xmlns:xsi="http://www.w3.org/2001/XMLSchema-instance" xsi:type="dcterms:W3CDTF">2026-07-24T01:48:42Z</dcterms:modified>
</cp:coreProperties>
</file>