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46220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46220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46220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46220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46220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s="2" t="inlineStr">
        <is>
          <t>Skuggmalmätare
Brunbandad malmätare
Brunflammig fältmätare
Glimmalmätare
Gullpudra</t>
        </is>
      </c>
      <c r="V9">
        <f>HYPERLINK("https://klasma.github.io/Logging_1864/artfynd/A 41623-2024 artfynd.xlsx", "A 41623-2024")</f>
        <v/>
      </c>
      <c r="W9">
        <f>HYPERLINK("https://klasma.github.io/Logging_1864/kartor/A 41623-2024 karta.png", "A 41623-2024")</f>
        <v/>
      </c>
      <c r="Y9">
        <f>HYPERLINK("https://klasma.github.io/Logging_1864/klagomål/A 41623-2024 FSC-klagomål.docx", "A 41623-2024")</f>
        <v/>
      </c>
      <c r="Z9">
        <f>HYPERLINK("https://klasma.github.io/Logging_1864/klagomålsmail/A 41623-2024 FSC-klagomål mail.docx", "A 41623-2024")</f>
        <v/>
      </c>
      <c r="AA9">
        <f>HYPERLINK("https://klasma.github.io/Logging_1864/tillsyn/A 41623-2024 tillsynsbegäran.docx", "A 41623-2024")</f>
        <v/>
      </c>
      <c r="AB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46220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s="2" t="inlineStr">
        <is>
          <t>Motaggsvamp
Tallriska
Tretåig hackspett
Vedtrappmossa
Bollvitmossa</t>
        </is>
      </c>
      <c r="V10">
        <f>HYPERLINK("https://klasma.github.io/Logging_1864/artfynd/A 65217-2021 artfynd.xlsx", "A 65217-2021")</f>
        <v/>
      </c>
      <c r="W10">
        <f>HYPERLINK("https://klasma.github.io/Logging_1864/kartor/A 65217-2021 karta.png", "A 65217-2021")</f>
        <v/>
      </c>
      <c r="Y10">
        <f>HYPERLINK("https://klasma.github.io/Logging_1864/klagomål/A 65217-2021 FSC-klagomål.docx", "A 65217-2021")</f>
        <v/>
      </c>
      <c r="Z10">
        <f>HYPERLINK("https://klasma.github.io/Logging_1864/klagomålsmail/A 65217-2021 FSC-klagomål mail.docx", "A 65217-2021")</f>
        <v/>
      </c>
      <c r="AA10">
        <f>HYPERLINK("https://klasma.github.io/Logging_1864/tillsyn/A 65217-2021 tillsynsbegäran.docx", "A 65217-2021")</f>
        <v/>
      </c>
      <c r="AB10">
        <f>HYPERLINK("https://klasma.github.io/Logging_1864/tillsynsmail/A 65217-2021 tillsynsbegäran mail.docx", "A 65217-2021")</f>
        <v/>
      </c>
      <c r="AC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46220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46220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46220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46220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46220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46220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Tvåblad
Nattviol</t>
        </is>
      </c>
      <c r="V17">
        <f>HYPERLINK("https://klasma.github.io/Logging_1864/artfynd/A 40854-2025 artfynd.xlsx", "A 40854-2025")</f>
        <v/>
      </c>
      <c r="W17">
        <f>HYPERLINK("https://klasma.github.io/Logging_1864/kartor/A 40854-2025 karta.png", "A 40854-2025")</f>
        <v/>
      </c>
      <c r="Y17">
        <f>HYPERLINK("https://klasma.github.io/Logging_1864/klagomål/A 40854-2025 FSC-klagomål.docx", "A 40854-2025")</f>
        <v/>
      </c>
      <c r="Z17">
        <f>HYPERLINK("https://klasma.github.io/Logging_1864/klagomålsmail/A 40854-2025 FSC-klagomål mail.docx", "A 40854-2025")</f>
        <v/>
      </c>
      <c r="AA17">
        <f>HYPERLINK("https://klasma.github.io/Logging_1864/tillsyn/A 40854-2025 tillsynsbegäran.docx", "A 40854-2025")</f>
        <v/>
      </c>
      <c r="AB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46220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Rödgul trumpetsvamp
Skogshakmossa</t>
        </is>
      </c>
      <c r="V18">
        <f>HYPERLINK("https://klasma.github.io/Logging_1864/artfynd/A 49157-2023 artfynd.xlsx", "A 49157-2023")</f>
        <v/>
      </c>
      <c r="W18">
        <f>HYPERLINK("https://klasma.github.io/Logging_1864/kartor/A 49157-2023 karta.png", "A 49157-2023")</f>
        <v/>
      </c>
      <c r="Y18">
        <f>HYPERLINK("https://klasma.github.io/Logging_1864/klagomål/A 49157-2023 FSC-klagomål.docx", "A 49157-2023")</f>
        <v/>
      </c>
      <c r="Z18">
        <f>HYPERLINK("https://klasma.github.io/Logging_1864/klagomålsmail/A 49157-2023 FSC-klagomål mail.docx", "A 49157-2023")</f>
        <v/>
      </c>
      <c r="AA18">
        <f>HYPERLINK("https://klasma.github.io/Logging_1864/tillsyn/A 49157-2023 tillsynsbegäran.docx", "A 49157-2023")</f>
        <v/>
      </c>
      <c r="AB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46220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s="2" t="inlineStr">
        <is>
          <t>Spillkråka
Kungsfågel</t>
        </is>
      </c>
      <c r="V19">
        <f>HYPERLINK("https://klasma.github.io/Logging_1864/artfynd/A 62105-2022 artfynd.xlsx", "A 62105-2022")</f>
        <v/>
      </c>
      <c r="W19">
        <f>HYPERLINK("https://klasma.github.io/Logging_1864/kartor/A 62105-2022 karta.png", "A 62105-2022")</f>
        <v/>
      </c>
      <c r="Y19">
        <f>HYPERLINK("https://klasma.github.io/Logging_1864/klagomål/A 62105-2022 FSC-klagomål.docx", "A 62105-2022")</f>
        <v/>
      </c>
      <c r="Z19">
        <f>HYPERLINK("https://klasma.github.io/Logging_1864/klagomålsmail/A 62105-2022 FSC-klagomål mail.docx", "A 62105-2022")</f>
        <v/>
      </c>
      <c r="AA19">
        <f>HYPERLINK("https://klasma.github.io/Logging_1864/tillsyn/A 62105-2022 tillsynsbegäran.docx", "A 62105-2022")</f>
        <v/>
      </c>
      <c r="AB19">
        <f>HYPERLINK("https://klasma.github.io/Logging_1864/tillsynsmail/A 62105-2022 tillsynsbegäran mail.docx", "A 62105-2022")</f>
        <v/>
      </c>
      <c r="AC19">
        <f>HYPERLINK("https://klasma.github.io/Logging_1864/fåglar/A 62105-2022 prioriterade fågelarter.docx", "A 62105-2022")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46220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Aspfjädermossa
Smal svampklubba</t>
        </is>
      </c>
      <c r="V20">
        <f>HYPERLINK("https://klasma.github.io/Logging_1864/artfynd/A 53729-2024 artfynd.xlsx", "A 53729-2024")</f>
        <v/>
      </c>
      <c r="W20">
        <f>HYPERLINK("https://klasma.github.io/Logging_1864/kartor/A 53729-2024 karta.png", "A 53729-2024")</f>
        <v/>
      </c>
      <c r="Y20">
        <f>HYPERLINK("https://klasma.github.io/Logging_1864/klagomål/A 53729-2024 FSC-klagomål.docx", "A 53729-2024")</f>
        <v/>
      </c>
      <c r="Z20">
        <f>HYPERLINK("https://klasma.github.io/Logging_1864/klagomålsmail/A 53729-2024 FSC-klagomål mail.docx", "A 53729-2024")</f>
        <v/>
      </c>
      <c r="AA20">
        <f>HYPERLINK("https://klasma.github.io/Logging_1864/tillsyn/A 53729-2024 tillsynsbegäran.docx", "A 53729-2024")</f>
        <v/>
      </c>
      <c r="AB20">
        <f>HYPERLINK("https://klasma.github.io/Logging_1864/tillsynsmail/A 53729-2024 tillsynsbegäran mail.docx", "A 53729-2024")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46220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Y21">
        <f>HYPERLINK("https://klasma.github.io/Logging_1864/klagomål/A 33193-2024 FSC-klagomål.docx", "A 33193-2024")</f>
        <v/>
      </c>
      <c r="Z21">
        <f>HYPERLINK("https://klasma.github.io/Logging_1864/klagomålsmail/A 33193-2024 FSC-klagomål mail.docx", "A 33193-2024")</f>
        <v/>
      </c>
      <c r="AA21">
        <f>HYPERLINK("https://klasma.github.io/Logging_1864/tillsyn/A 33193-2024 tillsynsbegäran.docx", "A 33193-2024")</f>
        <v/>
      </c>
      <c r="AB21">
        <f>HYPERLINK("https://klasma.github.io/Logging_1864/tillsynsmail/A 33193-2024 tillsynsbegäran mail.docx", "A 33193-2024")</f>
        <v/>
      </c>
      <c r="AC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46220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Y22">
        <f>HYPERLINK("https://klasma.github.io/Logging_1864/klagomål/A 24374-2026 FSC-klagomål.docx", "A 24374-2026")</f>
        <v/>
      </c>
      <c r="Z22">
        <f>HYPERLINK("https://klasma.github.io/Logging_1864/klagomålsmail/A 24374-2026 FSC-klagomål mail.docx", "A 24374-2026")</f>
        <v/>
      </c>
      <c r="AA22">
        <f>HYPERLINK("https://klasma.github.io/Logging_1864/tillsyn/A 24374-2026 tillsynsbegäran.docx", "A 24374-2026")</f>
        <v/>
      </c>
      <c r="AB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Y23">
        <f>HYPERLINK("https://klasma.github.io/Logging_1864/klagomål/A 45536-2024 FSC-klagomål.docx", "A 45536-2024")</f>
        <v/>
      </c>
      <c r="Z23">
        <f>HYPERLINK("https://klasma.github.io/Logging_1864/klagomålsmail/A 45536-2024 FSC-klagomål mail.docx", "A 45536-2024")</f>
        <v/>
      </c>
      <c r="AA23">
        <f>HYPERLINK("https://klasma.github.io/Logging_1864/tillsyn/A 45536-2024 tillsynsbegäran.docx", "A 45536-2024")</f>
        <v/>
      </c>
      <c r="AB23">
        <f>HYPERLINK("https://klasma.github.io/Logging_1864/tillsynsmail/A 45536-2024 tillsynsbegäran mail.docx", "A 45536-2024")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46220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Nattviol</t>
        </is>
      </c>
      <c r="V24">
        <f>HYPERLINK("https://klasma.github.io/Logging_1864/artfynd/A 39514-2025 artfynd.xlsx", "A 39514-2025")</f>
        <v/>
      </c>
      <c r="W24">
        <f>HYPERLINK("https://klasma.github.io/Logging_1864/kartor/A 39514-2025 karta.png", "A 39514-2025")</f>
        <v/>
      </c>
      <c r="Y24">
        <f>HYPERLINK("https://klasma.github.io/Logging_1864/klagomål/A 39514-2025 FSC-klagomål.docx", "A 39514-2025")</f>
        <v/>
      </c>
      <c r="Z24">
        <f>HYPERLINK("https://klasma.github.io/Logging_1864/klagomålsmail/A 39514-2025 FSC-klagomål mail.docx", "A 39514-2025")</f>
        <v/>
      </c>
      <c r="AA24">
        <f>HYPERLINK("https://klasma.github.io/Logging_1864/tillsyn/A 39514-2025 tillsynsbegäran.docx", "A 39514-2025")</f>
        <v/>
      </c>
      <c r="AB24">
        <f>HYPERLINK("https://klasma.github.io/Logging_1864/tillsynsmail/A 39514-2025 tillsynsbegäran mail.docx", "A 39514-2025")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46220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Vedticka</t>
        </is>
      </c>
      <c r="V25">
        <f>HYPERLINK("https://klasma.github.io/Logging_1864/artfynd/A 56179-2024 artfynd.xlsx", "A 56179-2024")</f>
        <v/>
      </c>
      <c r="W25">
        <f>HYPERLINK("https://klasma.github.io/Logging_1864/kartor/A 56179-2024 karta.png", "A 56179-2024")</f>
        <v/>
      </c>
      <c r="Y25">
        <f>HYPERLINK("https://klasma.github.io/Logging_1864/klagomål/A 56179-2024 FSC-klagomål.docx", "A 56179-2024")</f>
        <v/>
      </c>
      <c r="Z25">
        <f>HYPERLINK("https://klasma.github.io/Logging_1864/klagomålsmail/A 56179-2024 FSC-klagomål mail.docx", "A 56179-2024")</f>
        <v/>
      </c>
      <c r="AA25">
        <f>HYPERLINK("https://klasma.github.io/Logging_1864/tillsyn/A 56179-2024 tillsynsbegäran.docx", "A 56179-2024")</f>
        <v/>
      </c>
      <c r="AB25">
        <f>HYPERLINK("https://klasma.github.io/Logging_1864/tillsynsmail/A 56179-2024 tillsynsbegäran mail.docx", "A 56179-2024")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46220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s="2" t="inlineStr">
        <is>
          <t>Spillkråka</t>
        </is>
      </c>
      <c r="V26">
        <f>HYPERLINK("https://klasma.github.io/Logging_1864/artfynd/A 24791-2024 artfynd.xlsx", "A 24791-2024")</f>
        <v/>
      </c>
      <c r="W26">
        <f>HYPERLINK("https://klasma.github.io/Logging_1864/kartor/A 24791-2024 karta.png", "A 24791-2024")</f>
        <v/>
      </c>
      <c r="Y26">
        <f>HYPERLINK("https://klasma.github.io/Logging_1864/klagomål/A 24791-2024 FSC-klagomål.docx", "A 24791-2024")</f>
        <v/>
      </c>
      <c r="Z26">
        <f>HYPERLINK("https://klasma.github.io/Logging_1864/klagomålsmail/A 24791-2024 FSC-klagomål mail.docx", "A 24791-2024")</f>
        <v/>
      </c>
      <c r="AA26">
        <f>HYPERLINK("https://klasma.github.io/Logging_1864/tillsyn/A 24791-2024 tillsynsbegäran.docx", "A 24791-2024")</f>
        <v/>
      </c>
      <c r="AB26">
        <f>HYPERLINK("https://klasma.github.io/Logging_1864/tillsynsmail/A 24791-2024 tillsynsbegäran mail.docx", "A 24791-2024")</f>
        <v/>
      </c>
      <c r="AC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46220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Större vattensalamander</t>
        </is>
      </c>
      <c r="V27">
        <f>HYPERLINK("https://klasma.github.io/Logging_1864/artfynd/A 56859-2025 artfynd.xlsx", "A 56859-2025")</f>
        <v/>
      </c>
      <c r="W27">
        <f>HYPERLINK("https://klasma.github.io/Logging_1864/kartor/A 56859-2025 karta.png", "A 56859-2025")</f>
        <v/>
      </c>
      <c r="Y27">
        <f>HYPERLINK("https://klasma.github.io/Logging_1864/klagomål/A 56859-2025 FSC-klagomål.docx", "A 56859-2025")</f>
        <v/>
      </c>
      <c r="Z27">
        <f>HYPERLINK("https://klasma.github.io/Logging_1864/klagomålsmail/A 56859-2025 FSC-klagomål mail.docx", "A 56859-2025")</f>
        <v/>
      </c>
      <c r="AA27">
        <f>HYPERLINK("https://klasma.github.io/Logging_1864/tillsyn/A 56859-2025 tillsynsbegäran.docx", "A 56859-2025")</f>
        <v/>
      </c>
      <c r="AB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46220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Fläcknycklar</t>
        </is>
      </c>
      <c r="V28">
        <f>HYPERLINK("https://klasma.github.io/Logging_1864/artfynd/A 45537-2024 artfynd.xlsx", "A 45537-2024")</f>
        <v/>
      </c>
      <c r="W28">
        <f>HYPERLINK("https://klasma.github.io/Logging_1864/kartor/A 45537-2024 karta.png", "A 45537-2024")</f>
        <v/>
      </c>
      <c r="Y28">
        <f>HYPERLINK("https://klasma.github.io/Logging_1864/klagomål/A 45537-2024 FSC-klagomål.docx", "A 45537-2024")</f>
        <v/>
      </c>
      <c r="Z28">
        <f>HYPERLINK("https://klasma.github.io/Logging_1864/klagomålsmail/A 45537-2024 FSC-klagomål mail.docx", "A 45537-2024")</f>
        <v/>
      </c>
      <c r="AA28">
        <f>HYPERLINK("https://klasma.github.io/Logging_1864/tillsyn/A 45537-2024 tillsynsbegäran.docx", "A 45537-2024")</f>
        <v/>
      </c>
      <c r="AB28">
        <f>HYPERLINK("https://klasma.github.io/Logging_1864/tillsynsmail/A 45537-2024 tillsynsbegäran mail.docx", "A 45537-2024")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46220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HYPERLINK("https://klasma.github.io/Logging_1864/artfynd/A 19940-2026 artfynd.xlsx", "A 19940-2026")</f>
        <v/>
      </c>
      <c r="W29">
        <f>HYPERLINK("https://klasma.github.io/Logging_1864/kartor/A 19940-2026 karta.png", "A 19940-2026")</f>
        <v/>
      </c>
      <c r="Y29">
        <f>HYPERLINK("https://klasma.github.io/Logging_1864/klagomål/A 19940-2026 FSC-klagomål.docx", "A 19940-2026")</f>
        <v/>
      </c>
      <c r="Z29">
        <f>HYPERLINK("https://klasma.github.io/Logging_1864/klagomålsmail/A 19940-2026 FSC-klagomål mail.docx", "A 19940-2026")</f>
        <v/>
      </c>
      <c r="AA29">
        <f>HYPERLINK("https://klasma.github.io/Logging_1864/tillsyn/A 19940-2026 tillsynsbegäran.docx", "A 19940-2026")</f>
        <v/>
      </c>
      <c r="AB29">
        <f>HYPERLINK("https://klasma.github.io/Logging_1864/tillsynsmail/A 19940-2026 tillsynsbegäran mail.docx", "A 19940-2026")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46220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HYPERLINK("https://klasma.github.io/Logging_1864/artfynd/A 20797-2022 artfynd.xlsx", "A 20797-2022")</f>
        <v/>
      </c>
      <c r="W30">
        <f>HYPERLINK("https://klasma.github.io/Logging_1864/kartor/A 20797-2022 karta.png", "A 20797-2022")</f>
        <v/>
      </c>
      <c r="Y30">
        <f>HYPERLINK("https://klasma.github.io/Logging_1864/klagomål/A 20797-2022 FSC-klagomål.docx", "A 20797-2022")</f>
        <v/>
      </c>
      <c r="Z30">
        <f>HYPERLINK("https://klasma.github.io/Logging_1864/klagomålsmail/A 20797-2022 FSC-klagomål mail.docx", "A 20797-2022")</f>
        <v/>
      </c>
      <c r="AA30">
        <f>HYPERLINK("https://klasma.github.io/Logging_1864/tillsyn/A 20797-2022 tillsynsbegäran.docx", "A 20797-2022")</f>
        <v/>
      </c>
      <c r="AB30">
        <f>HYPERLINK("https://klasma.github.io/Logging_1864/tillsynsmail/A 20797-2022 tillsynsbegäran mail.docx", "A 20797-2022")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46220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Trana</t>
        </is>
      </c>
      <c r="V31">
        <f>HYPERLINK("https://klasma.github.io/Logging_1864/artfynd/A 18857-2026 artfynd.xlsx", "A 18857-2026")</f>
        <v/>
      </c>
      <c r="W31">
        <f>HYPERLINK("https://klasma.github.io/Logging_1864/kartor/A 18857-2026 karta.png", "A 18857-2026")</f>
        <v/>
      </c>
      <c r="Y31">
        <f>HYPERLINK("https://klasma.github.io/Logging_1864/klagomål/A 18857-2026 FSC-klagomål.docx", "A 18857-2026")</f>
        <v/>
      </c>
      <c r="Z31">
        <f>HYPERLINK("https://klasma.github.io/Logging_1864/klagomålsmail/A 18857-2026 FSC-klagomål mail.docx", "A 18857-2026")</f>
        <v/>
      </c>
      <c r="AA31">
        <f>HYPERLINK("https://klasma.github.io/Logging_1864/tillsyn/A 18857-2026 tillsynsbegäran.docx", "A 18857-2026")</f>
        <v/>
      </c>
      <c r="AB31">
        <f>HYPERLINK("https://klasma.github.io/Logging_1864/tillsynsmail/A 18857-2026 tillsynsbegäran mail.docx", "A 18857-2026")</f>
        <v/>
      </c>
      <c r="AC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46220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HYPERLINK("https://klasma.github.io/Logging_1864/artfynd/A 24348-2026 artfynd.xlsx", "A 24348-2026")</f>
        <v/>
      </c>
      <c r="W32">
        <f>HYPERLINK("https://klasma.github.io/Logging_1864/kartor/A 24348-2026 karta.png", "A 24348-2026")</f>
        <v/>
      </c>
      <c r="Y32">
        <f>HYPERLINK("https://klasma.github.io/Logging_1864/klagomål/A 24348-2026 FSC-klagomål.docx", "A 24348-2026")</f>
        <v/>
      </c>
      <c r="Z32">
        <f>HYPERLINK("https://klasma.github.io/Logging_1864/klagomålsmail/A 24348-2026 FSC-klagomål mail.docx", "A 24348-2026")</f>
        <v/>
      </c>
      <c r="AA32">
        <f>HYPERLINK("https://klasma.github.io/Logging_1864/tillsyn/A 24348-2026 tillsynsbegäran.docx", "A 24348-2026")</f>
        <v/>
      </c>
      <c r="AB32">
        <f>HYPERLINK("https://klasma.github.io/Logging_1864/tillsynsmail/A 24348-2026 tillsynsbegäran mail.docx", "A 24348-2026")</f>
        <v/>
      </c>
      <c r="AC32">
        <f>HYPERLINK("https://klasma.github.io/Logging_1864/fåglar/A 24348-2026 prioriterade fågelarter.docx", "A 24348-2026")</f>
        <v/>
      </c>
    </row>
    <row r="33" ht="15" customHeight="1">
      <c r="A33" t="inlineStr">
        <is>
          <t>A 24299-2026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46220</v>
      </c>
      <c r="F33" t="inlineStr">
        <is>
          <t>ÖREBRO LÄN</t>
        </is>
      </c>
      <c r="G33" t="inlineStr">
        <is>
          <t>LJUSNARSBERG</t>
        </is>
      </c>
      <c r="I33" t="n">
        <v>10.8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Talltita</t>
        </is>
      </c>
      <c r="V33">
        <f>HYPERLINK("https://klasma.github.io/Logging_1864/artfynd/A 24299-2026 artfynd.xlsx", "A 24299-2026")</f>
        <v/>
      </c>
      <c r="W33">
        <f>HYPERLINK("https://klasma.github.io/Logging_1864/kartor/A 24299-2026 karta.png", "A 24299-2026")</f>
        <v/>
      </c>
      <c r="Y33">
        <f>HYPERLINK("https://klasma.github.io/Logging_1864/klagomål/A 24299-2026 FSC-klagomål.docx", "A 24299-2026")</f>
        <v/>
      </c>
      <c r="Z33">
        <f>HYPERLINK("https://klasma.github.io/Logging_1864/klagomålsmail/A 24299-2026 FSC-klagomål mail.docx", "A 24299-2026")</f>
        <v/>
      </c>
      <c r="AA33">
        <f>HYPERLINK("https://klasma.github.io/Logging_1864/tillsyn/A 24299-2026 tillsynsbegäran.docx", "A 24299-2026")</f>
        <v/>
      </c>
      <c r="AB33">
        <f>HYPERLINK("https://klasma.github.io/Logging_1864/tillsynsmail/A 24299-2026 tillsynsbegäran mail.docx", "A 24299-2026")</f>
        <v/>
      </c>
      <c r="AC33">
        <f>HYPERLINK("https://klasma.github.io/Logging_1864/fåglar/A 24299-2026 prioriterade fågelarter.docx", "A 24299-2026")</f>
        <v/>
      </c>
    </row>
    <row r="34" ht="15" customHeight="1">
      <c r="A34" t="inlineStr">
        <is>
          <t>A 39095-2022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46220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Mattlummer</t>
        </is>
      </c>
      <c r="V34">
        <f>HYPERLINK("https://klasma.github.io/Logging_1864/artfynd/A 39095-2022 artfynd.xlsx", "A 39095-2022")</f>
        <v/>
      </c>
      <c r="W34">
        <f>HYPERLINK("https://klasma.github.io/Logging_1864/kartor/A 39095-2022 karta.png", "A 39095-2022")</f>
        <v/>
      </c>
      <c r="Y34">
        <f>HYPERLINK("https://klasma.github.io/Logging_1864/klagomål/A 39095-2022 FSC-klagomål.docx", "A 39095-2022")</f>
        <v/>
      </c>
      <c r="Z34">
        <f>HYPERLINK("https://klasma.github.io/Logging_1864/klagomålsmail/A 39095-2022 FSC-klagomål mail.docx", "A 39095-2022")</f>
        <v/>
      </c>
      <c r="AA34">
        <f>HYPERLINK("https://klasma.github.io/Logging_1864/tillsyn/A 39095-2022 tillsynsbegäran.docx", "A 39095-2022")</f>
        <v/>
      </c>
      <c r="AB34">
        <f>HYPERLINK("https://klasma.github.io/Logging_1864/tillsynsmail/A 39095-2022 tillsynsbegäran mail.docx", "A 39095-2022")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46220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46220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46220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46220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46220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46220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46220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46220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46220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46220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46220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46220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46220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46220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46220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46220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33858-2022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46220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31998-2022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44778</v>
      </c>
      <c r="E52" s="1" t="n">
        <v>46220</v>
      </c>
      <c r="F52" t="inlineStr">
        <is>
          <t>ÖREBRO LÄN</t>
        </is>
      </c>
      <c r="G52" t="inlineStr">
        <is>
          <t>LJUSNARSBERG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46220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46220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25574-2023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45089</v>
      </c>
      <c r="E55" s="1" t="n">
        <v>46220</v>
      </c>
      <c r="F55" t="inlineStr">
        <is>
          <t>ÖREBRO LÄN</t>
        </is>
      </c>
      <c r="G55" t="inlineStr">
        <is>
          <t>LJUSNARSBERG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30774-2023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46220</v>
      </c>
      <c r="F56" t="inlineStr">
        <is>
          <t>ÖREBRO LÄN</t>
        </is>
      </c>
      <c r="G56" t="inlineStr">
        <is>
          <t>LJUSNARSBERG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46263-2021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46220</v>
      </c>
      <c r="F57" t="inlineStr">
        <is>
          <t>ÖREBRO LÄN</t>
        </is>
      </c>
      <c r="G57" t="inlineStr">
        <is>
          <t>LJUSNARSBERG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61580-2023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46220</v>
      </c>
      <c r="F58" t="inlineStr">
        <is>
          <t>ÖREBRO LÄN</t>
        </is>
      </c>
      <c r="G58" t="inlineStr">
        <is>
          <t>LJUSNARSBERG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62810-2021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46220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46220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46220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46220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62843-2021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46220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15114-2024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46220</v>
      </c>
      <c r="F64" t="inlineStr">
        <is>
          <t>ÖREBRO LÄN</t>
        </is>
      </c>
      <c r="G64" t="inlineStr">
        <is>
          <t>LJUSNARSBERG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26165-2022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46220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12489-2023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46220</v>
      </c>
      <c r="F66" t="inlineStr">
        <is>
          <t>ÖREBRO LÄN</t>
        </is>
      </c>
      <c r="G66" t="inlineStr">
        <is>
          <t>LJUSNARSBERG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17933-2024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46220</v>
      </c>
      <c r="F67" t="inlineStr">
        <is>
          <t>ÖREBRO LÄN</t>
        </is>
      </c>
      <c r="G67" t="inlineStr">
        <is>
          <t>LJUSNARSBERG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46220</v>
      </c>
      <c r="F68" t="inlineStr">
        <is>
          <t>ÖREBRO LÄN</t>
        </is>
      </c>
      <c r="G68" t="inlineStr">
        <is>
          <t>LJUSNARSBERG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44956</v>
      </c>
      <c r="E69" s="1" t="n">
        <v>46220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31763-2023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46220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46220</v>
      </c>
      <c r="F71" t="inlineStr">
        <is>
          <t>ÖREBRO LÄN</t>
        </is>
      </c>
      <c r="G71" t="inlineStr">
        <is>
          <t>LJUSNARSBERG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59630-2024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46220</v>
      </c>
      <c r="F72" t="inlineStr">
        <is>
          <t>ÖREBRO LÄN</t>
        </is>
      </c>
      <c r="G72" t="inlineStr">
        <is>
          <t>LJUSNARSBERG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31357-2025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46220</v>
      </c>
      <c r="F73" t="inlineStr">
        <is>
          <t>ÖREBRO LÄN</t>
        </is>
      </c>
      <c r="G73" t="inlineStr">
        <is>
          <t>LJUSNARSBERG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33974-2023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46220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59627-2024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45638</v>
      </c>
      <c r="E75" s="1" t="n">
        <v>46220</v>
      </c>
      <c r="F75" t="inlineStr">
        <is>
          <t>ÖREBRO LÄN</t>
        </is>
      </c>
      <c r="G75" t="inlineStr">
        <is>
          <t>LJUSNARSBERG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44780-2024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46220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26469-2025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45807</v>
      </c>
      <c r="E77" s="1" t="n">
        <v>46220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20673-2025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45776</v>
      </c>
      <c r="E78" s="1" t="n">
        <v>46220</v>
      </c>
      <c r="F78" t="inlineStr">
        <is>
          <t>ÖREBRO LÄN</t>
        </is>
      </c>
      <c r="G78" t="inlineStr">
        <is>
          <t>LJUSNARSBERG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46220</v>
      </c>
      <c r="F80" t="inlineStr">
        <is>
          <t>ÖREBRO LÄN</t>
        </is>
      </c>
      <c r="G80" t="inlineStr">
        <is>
          <t>LJUSNARSBERG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46220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40933-2025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46220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46220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46220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29595-2025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46220</v>
      </c>
      <c r="F86" t="inlineStr">
        <is>
          <t>ÖREBRO LÄN</t>
        </is>
      </c>
      <c r="G86" t="inlineStr">
        <is>
          <t>LJUSNARSBERG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40964-2025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46220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46220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46220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42287-2025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45903</v>
      </c>
      <c r="E90" s="1" t="n">
        <v>46220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25671-2024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45463</v>
      </c>
      <c r="E91" s="1" t="n">
        <v>46220</v>
      </c>
      <c r="F91" t="inlineStr">
        <is>
          <t>ÖREBRO LÄN</t>
        </is>
      </c>
      <c r="G91" t="inlineStr">
        <is>
          <t>LJUSNARSBERG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29572-2025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46220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43078-2025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45909</v>
      </c>
      <c r="E93" s="1" t="n">
        <v>46220</v>
      </c>
      <c r="F93" t="inlineStr">
        <is>
          <t>ÖREBRO LÄN</t>
        </is>
      </c>
      <c r="G93" t="inlineStr">
        <is>
          <t>LJUSNARSBERG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46220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30002-2025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46220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46220</v>
      </c>
      <c r="F96" t="inlineStr">
        <is>
          <t>ÖREBRO LÄN</t>
        </is>
      </c>
      <c r="G96" t="inlineStr">
        <is>
          <t>LJUSNARSBERG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30430-2025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46220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30935-2025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45832</v>
      </c>
      <c r="E98" s="1" t="n">
        <v>46220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40864-2025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46220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22887-2024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45448</v>
      </c>
      <c r="E100" s="1" t="n">
        <v>46220</v>
      </c>
      <c r="F100" t="inlineStr">
        <is>
          <t>ÖREBRO LÄN</t>
        </is>
      </c>
      <c r="G100" t="inlineStr">
        <is>
          <t>LJUSNARSBERG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44479-2025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45916</v>
      </c>
      <c r="E101" s="1" t="n">
        <v>46220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44983-2024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46220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52366-2024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46220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46220</v>
      </c>
      <c r="F104" t="inlineStr">
        <is>
          <t>ÖREBRO LÄN</t>
        </is>
      </c>
      <c r="G104" t="inlineStr">
        <is>
          <t>LJUSNARSBERG</t>
        </is>
      </c>
      <c r="H104" t="inlineStr">
        <is>
          <t>Kyrkan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46220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29721-2023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46220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41610-2025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46220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35151-2023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46220</v>
      </c>
      <c r="F108" t="inlineStr">
        <is>
          <t>ÖREBRO LÄN</t>
        </is>
      </c>
      <c r="G108" t="inlineStr">
        <is>
          <t>LJUSNARSBERG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46220</v>
      </c>
      <c r="F109" t="inlineStr">
        <is>
          <t>ÖREBRO LÄN</t>
        </is>
      </c>
      <c r="G109" t="inlineStr">
        <is>
          <t>LJUSNARSBERG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46220</v>
      </c>
      <c r="F110" t="inlineStr">
        <is>
          <t>ÖREBRO LÄN</t>
        </is>
      </c>
      <c r="G110" t="inlineStr">
        <is>
          <t>LJUSNARSBERG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44720</v>
      </c>
      <c r="E111" s="1" t="n">
        <v>46220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46220</v>
      </c>
      <c r="F112" t="inlineStr">
        <is>
          <t>ÖREBRO LÄN</t>
        </is>
      </c>
      <c r="G112" t="inlineStr">
        <is>
          <t>LJUSNARSBERG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25098-2023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45086</v>
      </c>
      <c r="E113" s="1" t="n">
        <v>46220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46220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48540-2025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46220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48582-2025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46220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46220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48564-2025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45934</v>
      </c>
      <c r="E118" s="1" t="n">
        <v>46220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46220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48501-2025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46220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45934</v>
      </c>
      <c r="E121" s="1" t="n">
        <v>46220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48353-2022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46220</v>
      </c>
      <c r="F122" t="inlineStr">
        <is>
          <t>ÖREBRO LÄN</t>
        </is>
      </c>
      <c r="G122" t="inlineStr">
        <is>
          <t>LJUSNARSBERG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46220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57129-2021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46220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46220</v>
      </c>
      <c r="F125" t="inlineStr">
        <is>
          <t>ÖREBRO LÄN</t>
        </is>
      </c>
      <c r="G125" t="inlineStr">
        <is>
          <t>LJUSNARSBERG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50865-2025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45946</v>
      </c>
      <c r="E126" s="1" t="n">
        <v>46220</v>
      </c>
      <c r="F126" t="inlineStr">
        <is>
          <t>ÖREBRO LÄN</t>
        </is>
      </c>
      <c r="G126" t="inlineStr">
        <is>
          <t>LJUSNARSBERG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51693-2025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45951</v>
      </c>
      <c r="E127" s="1" t="n">
        <v>46220</v>
      </c>
      <c r="F127" t="inlineStr">
        <is>
          <t>ÖREBRO LÄN</t>
        </is>
      </c>
      <c r="G127" t="inlineStr">
        <is>
          <t>LJUSNARSBERG</t>
        </is>
      </c>
      <c r="I127" t="n">
        <v>10.8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17276-2023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45035</v>
      </c>
      <c r="E128" s="1" t="n">
        <v>46220</v>
      </c>
      <c r="F128" t="inlineStr">
        <is>
          <t>ÖREBRO LÄN</t>
        </is>
      </c>
      <c r="G128" t="inlineStr">
        <is>
          <t>LJUSNARSBERG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5094-2026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46220</v>
      </c>
      <c r="F129" t="inlineStr">
        <is>
          <t>ÖREBRO LÄN</t>
        </is>
      </c>
      <c r="G129" t="inlineStr">
        <is>
          <t>LJUSNARSBERG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24921-2023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46220</v>
      </c>
      <c r="F130" t="inlineStr">
        <is>
          <t>ÖREBRO LÄN</t>
        </is>
      </c>
      <c r="G130" t="inlineStr">
        <is>
          <t>LJUSNARSBERG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46220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57392-2025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46220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19368-2025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46220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59497-2024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45638</v>
      </c>
      <c r="E134" s="1" t="n">
        <v>46220</v>
      </c>
      <c r="F134" t="inlineStr">
        <is>
          <t>ÖREBRO LÄN</t>
        </is>
      </c>
      <c r="G134" t="inlineStr">
        <is>
          <t>LJUSNARSBERG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45124</v>
      </c>
      <c r="E135" s="1" t="n">
        <v>46220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46220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63411-2025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46220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26617-2022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46220</v>
      </c>
      <c r="F138" t="inlineStr">
        <is>
          <t>ÖREBRO LÄN</t>
        </is>
      </c>
      <c r="G138" t="inlineStr">
        <is>
          <t>LJUSNARSBERG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59495-2024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45638</v>
      </c>
      <c r="E139" s="1" t="n">
        <v>46220</v>
      </c>
      <c r="F139" t="inlineStr">
        <is>
          <t>ÖREBRO LÄN</t>
        </is>
      </c>
      <c r="G139" t="inlineStr">
        <is>
          <t>LJUSNARSBERG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46146-2022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46220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46220</v>
      </c>
      <c r="F141" t="inlineStr">
        <is>
          <t>ÖREBRO LÄN</t>
        </is>
      </c>
      <c r="G141" t="inlineStr">
        <is>
          <t>LJUSNARSBERG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62679-2022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46220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46220</v>
      </c>
      <c r="F143" t="inlineStr">
        <is>
          <t>ÖREBRO LÄN</t>
        </is>
      </c>
      <c r="G143" t="inlineStr">
        <is>
          <t>LJUSNARSBERG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29436-2023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46220</v>
      </c>
      <c r="F144" t="inlineStr">
        <is>
          <t>ÖREBRO LÄN</t>
        </is>
      </c>
      <c r="G144" t="inlineStr">
        <is>
          <t>LJUSNARSBERG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46082-2024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46220</v>
      </c>
      <c r="F145" t="inlineStr">
        <is>
          <t>ÖREBRO LÄN</t>
        </is>
      </c>
      <c r="G145" t="inlineStr">
        <is>
          <t>LJUSNARSBERG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46220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33861-2022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44790</v>
      </c>
      <c r="E147" s="1" t="n">
        <v>46220</v>
      </c>
      <c r="F147" t="inlineStr">
        <is>
          <t>ÖREBRO LÄN</t>
        </is>
      </c>
      <c r="G147" t="inlineStr">
        <is>
          <t>LJUSNARSBERG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46220</v>
      </c>
      <c r="F148" t="inlineStr">
        <is>
          <t>ÖREBRO LÄN</t>
        </is>
      </c>
      <c r="G148" t="inlineStr">
        <is>
          <t>LJUSNARSBERG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46220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44760-2024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45574</v>
      </c>
      <c r="E150" s="1" t="n">
        <v>46220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46220</v>
      </c>
      <c r="F151" t="inlineStr">
        <is>
          <t>ÖREBRO LÄN</t>
        </is>
      </c>
      <c r="G151" t="inlineStr">
        <is>
          <t>LJUSNARSBERG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19937-2026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46220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62667-2022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44917</v>
      </c>
      <c r="E153" s="1" t="n">
        <v>46220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36108-2024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46220</v>
      </c>
      <c r="F154" t="inlineStr">
        <is>
          <t>ÖREBRO LÄN</t>
        </is>
      </c>
      <c r="G154" t="inlineStr">
        <is>
          <t>LJUSNARSBERG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12482-2023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46220</v>
      </c>
      <c r="F155" t="inlineStr">
        <is>
          <t>ÖREBRO LÄN</t>
        </is>
      </c>
      <c r="G155" t="inlineStr">
        <is>
          <t>LJUSNARSBERG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13803-2024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45390</v>
      </c>
      <c r="E156" s="1" t="n">
        <v>46220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14500-2024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45394</v>
      </c>
      <c r="E157" s="1" t="n">
        <v>46220</v>
      </c>
      <c r="F157" t="inlineStr">
        <is>
          <t>ÖREBRO LÄN</t>
        </is>
      </c>
      <c r="G157" t="inlineStr">
        <is>
          <t>LJUSNARSBERG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46220</v>
      </c>
      <c r="F158" t="inlineStr">
        <is>
          <t>ÖREBRO LÄN</t>
        </is>
      </c>
      <c r="G158" t="inlineStr">
        <is>
          <t>LJUSNARSBERG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46085-2024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46220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19936-2026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46220</v>
      </c>
      <c r="F160" t="inlineStr">
        <is>
          <t>ÖREBRO LÄN</t>
        </is>
      </c>
      <c r="G160" t="inlineStr">
        <is>
          <t>LJUSNARSBERG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27343-2025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46220</v>
      </c>
      <c r="F161" t="inlineStr">
        <is>
          <t>ÖREBRO LÄN</t>
        </is>
      </c>
      <c r="G161" t="inlineStr">
        <is>
          <t>LJUSNARSBERG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18938-2022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44690</v>
      </c>
      <c r="E162" s="1" t="n">
        <v>46220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58823-2022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46220</v>
      </c>
      <c r="F163" t="inlineStr">
        <is>
          <t>ÖREBRO LÄN</t>
        </is>
      </c>
      <c r="G163" t="inlineStr">
        <is>
          <t>LJUSNARSBERG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45538-2024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45578</v>
      </c>
      <c r="E164" s="1" t="n">
        <v>46220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45578</v>
      </c>
      <c r="E165" s="1" t="n">
        <v>46220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46220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52489-2022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46220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33976-2023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46220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26847-2026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46220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46220</v>
      </c>
      <c r="F170" t="inlineStr">
        <is>
          <t>ÖREBRO LÄN</t>
        </is>
      </c>
      <c r="G170" t="inlineStr">
        <is>
          <t>LJUSNARSBERG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21186-2026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46220</v>
      </c>
      <c r="F171" t="inlineStr">
        <is>
          <t>ÖREBRO LÄN</t>
        </is>
      </c>
      <c r="G171" t="inlineStr">
        <is>
          <t>LJUSNARSBERG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47017-2025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46220</v>
      </c>
      <c r="F172" t="inlineStr">
        <is>
          <t>ÖREBRO LÄN</t>
        </is>
      </c>
      <c r="G172" t="inlineStr">
        <is>
          <t>LJUSNARSBERG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22366-2026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46220</v>
      </c>
      <c r="F173" t="inlineStr">
        <is>
          <t>ÖREBRO LÄN</t>
        </is>
      </c>
      <c r="G173" t="inlineStr">
        <is>
          <t>LJUSNARSBERG</t>
        </is>
      </c>
      <c r="I173" t="n">
        <v>14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32880-2025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46220</v>
      </c>
      <c r="F174" t="inlineStr">
        <is>
          <t>ÖREBRO LÄN</t>
        </is>
      </c>
      <c r="G174" t="inlineStr">
        <is>
          <t>LJUSNARSBERG</t>
        </is>
      </c>
      <c r="H174" t="inlineStr">
        <is>
          <t>Kommuner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46220</v>
      </c>
      <c r="F175" t="inlineStr">
        <is>
          <t>ÖREBRO LÄN</t>
        </is>
      </c>
      <c r="G175" t="inlineStr">
        <is>
          <t>LJUSNARSBERG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18932-2022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44690</v>
      </c>
      <c r="E176" s="1" t="n">
        <v>46220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44788-2021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46220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30414-2023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46220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46220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7499-2024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45347</v>
      </c>
      <c r="E180" s="1" t="n">
        <v>46220</v>
      </c>
      <c r="F180" t="inlineStr">
        <is>
          <t>ÖREBRO LÄN</t>
        </is>
      </c>
      <c r="G180" t="inlineStr">
        <is>
          <t>LJUSNARSBERG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23633-2026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46220</v>
      </c>
      <c r="F181" t="inlineStr">
        <is>
          <t>ÖREBRO LÄN</t>
        </is>
      </c>
      <c r="G181" t="inlineStr">
        <is>
          <t>LJUSNARSBERG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46220</v>
      </c>
      <c r="F182" t="inlineStr">
        <is>
          <t>ÖREBRO LÄN</t>
        </is>
      </c>
      <c r="G182" t="inlineStr">
        <is>
          <t>LJUSNARSBERG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57090-2022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46220</v>
      </c>
      <c r="F183" t="inlineStr">
        <is>
          <t>ÖREBRO LÄN</t>
        </is>
      </c>
      <c r="G183" t="inlineStr">
        <is>
          <t>LJUSNARSBERG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24319-2026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46167</v>
      </c>
      <c r="E184" s="1" t="n">
        <v>46220</v>
      </c>
      <c r="F184" t="inlineStr">
        <is>
          <t>ÖREBRO LÄN</t>
        </is>
      </c>
      <c r="G184" t="inlineStr">
        <is>
          <t>LJUSNARSBERG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46220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23372-2022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44720</v>
      </c>
      <c r="E186" s="1" t="n">
        <v>46220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24343-2026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46220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24350-2026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46220</v>
      </c>
      <c r="F188" t="inlineStr">
        <is>
          <t>ÖREBRO LÄN</t>
        </is>
      </c>
      <c r="G188" t="inlineStr">
        <is>
          <t>LJUSNARSBERG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46220</v>
      </c>
      <c r="F189" t="inlineStr">
        <is>
          <t>ÖREBRO LÄN</t>
        </is>
      </c>
      <c r="G189" t="inlineStr">
        <is>
          <t>LJUSNARSBERG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53395-2021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44468</v>
      </c>
      <c r="E190" s="1" t="n">
        <v>46220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7903-2022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44607</v>
      </c>
      <c r="E191" s="1" t="n">
        <v>46220</v>
      </c>
      <c r="F191" t="inlineStr">
        <is>
          <t>ÖREBRO LÄN</t>
        </is>
      </c>
      <c r="G191" t="inlineStr">
        <is>
          <t>LJUSNARSBERG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46220</v>
      </c>
      <c r="F192" t="inlineStr">
        <is>
          <t>ÖREBRO LÄN</t>
        </is>
      </c>
      <c r="G192" t="inlineStr">
        <is>
          <t>LJUSNARSBERG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31167-2023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46220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46220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18975-2025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46220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19857-2022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44694</v>
      </c>
      <c r="E196" s="1" t="n">
        <v>46220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46801-2024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46220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31162-2023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46220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28778-2024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46220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48780-2024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46220</v>
      </c>
      <c r="F200" t="inlineStr">
        <is>
          <t>ÖREBRO LÄN</t>
        </is>
      </c>
      <c r="G200" t="inlineStr">
        <is>
          <t>LJUSNARSBERG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45698</v>
      </c>
      <c r="E201" s="1" t="n">
        <v>46220</v>
      </c>
      <c r="F201" t="inlineStr">
        <is>
          <t>ÖREBRO LÄN</t>
        </is>
      </c>
      <c r="G201" t="inlineStr">
        <is>
          <t>LJUSNARSBERG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45387</v>
      </c>
      <c r="E202" s="1" t="n">
        <v>46220</v>
      </c>
      <c r="F202" t="inlineStr">
        <is>
          <t>ÖREBRO LÄN</t>
        </is>
      </c>
      <c r="G202" t="inlineStr">
        <is>
          <t>LJUSNARSBERG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30172-2023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46220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46220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46220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3541-2022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44734</v>
      </c>
      <c r="E206" s="1" t="n">
        <v>46220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10473-2021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44559</v>
      </c>
      <c r="E207" s="1" t="n">
        <v>46220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3528-2023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45205</v>
      </c>
      <c r="E208" s="1" t="n">
        <v>46220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7278-2021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46220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410-2022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44585</v>
      </c>
      <c r="E210" s="1" t="n">
        <v>46220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4521-2023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45275</v>
      </c>
      <c r="E211" s="1" t="n">
        <v>46220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1099-2022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44615</v>
      </c>
      <c r="E212" s="1" t="n">
        <v>46220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147.4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46220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46220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46220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46220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46220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46220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46220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2026-07-17T01:42:58Z</dcterms:created>
  <dcterms:modified xmlns:dcterms="http://purl.org/dc/terms/" xmlns:xsi="http://www.w3.org/2001/XMLSchema-instance" xsi:type="dcterms:W3CDTF">2026-07-17T01:42:58Z</dcterms:modified>
</cp:coreProperties>
</file>