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46197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13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14</v>
      </c>
      <c r="R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46197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46197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Garnlav
Brunpudrad nållav
Tretåig hackspett
Vedtrappmossa
Flagellkvastmossa
Gulnål
Mindre märgborre
Vedticka
Vågbandad barkbock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46197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Garnlav
Brunpudrad nållav
Tallriska
Tretåig hackspett
Gulnål
Mindre märgborre
Thomsons trägnagare
Tjäder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  <c r="Z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s="1" t="n">
        <v>44441</v>
      </c>
      <c r="C6" s="1" t="n">
        <v>46197</v>
      </c>
      <c r="D6" t="inlineStr">
        <is>
          <t>ÖREBRO LÄN</t>
        </is>
      </c>
      <c r="E6" t="inlineStr">
        <is>
          <t>LJUSNARSBERG</t>
        </is>
      </c>
      <c r="G6" t="n">
        <v>9.9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Garnlav
Talltita
Vedticka
Spillkråka
Tofsmes
Kungsfågel
Svartvit flugsnappare</t>
        </is>
      </c>
      <c r="S6">
        <f>HYPERLINK("https://klasma.github.io/Logging_1864/artfynd/A 45797-2021 artfynd.xlsx", "A 45797-2021")</f>
        <v/>
      </c>
      <c r="T6">
        <f>HYPERLINK("https://klasma.github.io/Logging_1864/kartor/A 45797-2021 karta.png", "A 45797-2021")</f>
        <v/>
      </c>
      <c r="V6">
        <f>HYPERLINK("https://klasma.github.io/Logging_1864/klagomål/A 45797-2021 FSC-klagomål.docx", "A 45797-2021")</f>
        <v/>
      </c>
      <c r="W6">
        <f>HYPERLINK("https://klasma.github.io/Logging_1864/klagomålsmail/A 45797-2021 FSC-klagomål mail.docx", "A 45797-2021")</f>
        <v/>
      </c>
      <c r="X6">
        <f>HYPERLINK("https://klasma.github.io/Logging_1864/tillsyn/A 45797-2021 tillsynsbegäran.docx", "A 45797-2021")</f>
        <v/>
      </c>
      <c r="Y6">
        <f>HYPERLINK("https://klasma.github.io/Logging_1864/tillsynsmail/A 45797-2021 tillsynsbegäran mail.docx", "A 45797-2021")</f>
        <v/>
      </c>
      <c r="Z6">
        <f>HYPERLINK("https://klasma.github.io/Logging_1864/fåglar/A 45797-2021 prioriterade fågelarter.docx", "A 45797-2021")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46197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Älg
Mindre märgborre
Mattlummer
Spillkråka
Tjäder
Kungsfågel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46197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Motaggsvamp
Tallriska
Tretåig hackspett
Vedtrappmossa
Bollvitmossa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46197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Skuggmalmätare
Brunbandad malmätare
Brunflammig fältmätare
Glimmalmätare
Gullpudra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s="1" t="n">
        <v>46127</v>
      </c>
      <c r="C10" s="1" t="n">
        <v>46197</v>
      </c>
      <c r="D10" t="inlineStr">
        <is>
          <t>ÖREBRO LÄN</t>
        </is>
      </c>
      <c r="E10" t="inlineStr">
        <is>
          <t>LJUSNARSBERG</t>
        </is>
      </c>
      <c r="G10" t="n">
        <v>9.5</v>
      </c>
      <c r="H10" t="n">
        <v>4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Entita
Bronshjon
Spillkråka
Grönsiska
Kungsfågel</t>
        </is>
      </c>
      <c r="S10">
        <f>HYPERLINK("https://klasma.github.io/Logging_1864/artfynd/A 18853-2026 artfynd.xlsx", "A 18853-2026")</f>
        <v/>
      </c>
      <c r="T10">
        <f>HYPERLINK("https://klasma.github.io/Logging_1864/kartor/A 18853-2026 karta.png", "A 18853-2026")</f>
        <v/>
      </c>
      <c r="V10">
        <f>HYPERLINK("https://klasma.github.io/Logging_1864/klagomål/A 18853-2026 FSC-klagomål.docx", "A 18853-2026")</f>
        <v/>
      </c>
      <c r="W10">
        <f>HYPERLINK("https://klasma.github.io/Logging_1864/klagomålsmail/A 18853-2026 FSC-klagomål mail.docx", "A 18853-2026")</f>
        <v/>
      </c>
      <c r="X10">
        <f>HYPERLINK("https://klasma.github.io/Logging_1864/tillsyn/A 18853-2026 tillsynsbegäran.docx", "A 18853-2026")</f>
        <v/>
      </c>
      <c r="Y10">
        <f>HYPERLINK("https://klasma.github.io/Logging_1864/tillsynsmail/A 18853-2026 tillsynsbegäran mail.docx", "A 18853-2026")</f>
        <v/>
      </c>
      <c r="Z10">
        <f>HYPERLINK("https://klasma.github.io/Logging_1864/fåglar/A 18853-2026 prioriterade fågelarter.docx", "A 18853-2026")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46197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Fältgentiana
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s="1" t="n">
        <v>45982</v>
      </c>
      <c r="C12" s="1" t="n">
        <v>46197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4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Tvåblad
Brudsporre
Grönvit nattviol
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46197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Rynkskinn
Ullticka
Vedticka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40854-2025</t>
        </is>
      </c>
      <c r="B14" s="1" t="n">
        <v>45897</v>
      </c>
      <c r="C14" s="1" t="n">
        <v>46197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Nattviol</t>
        </is>
      </c>
      <c r="S14">
        <f>HYPERLINK("https://klasma.github.io/Logging_1864/artfynd/A 40854-2025 artfynd.xlsx", "A 40854-2025")</f>
        <v/>
      </c>
      <c r="T14">
        <f>HYPERLINK("https://klasma.github.io/Logging_1864/kartor/A 40854-2025 karta.png", "A 40854-2025")</f>
        <v/>
      </c>
      <c r="V14">
        <f>HYPERLINK("https://klasma.github.io/Logging_1864/klagomål/A 40854-2025 FSC-klagomål.docx", "A 40854-2025")</f>
        <v/>
      </c>
      <c r="W14">
        <f>HYPERLINK("https://klasma.github.io/Logging_1864/klagomålsmail/A 40854-2025 FSC-klagomål mail.docx", "A 40854-2025")</f>
        <v/>
      </c>
      <c r="X14">
        <f>HYPERLINK("https://klasma.github.io/Logging_1864/tillsyn/A 40854-2025 tillsynsbegäran.docx", "A 40854-2025")</f>
        <v/>
      </c>
      <c r="Y14">
        <f>HYPERLINK("https://klasma.github.io/Logging_1864/tillsynsmail/A 40854-2025 tillsynsbegäran mail.docx", "A 40854-2025")</f>
        <v/>
      </c>
    </row>
    <row r="15" ht="15" customHeight="1">
      <c r="A15" t="inlineStr">
        <is>
          <t>A 62105-2022</t>
        </is>
      </c>
      <c r="B15" s="1" t="n">
        <v>44920</v>
      </c>
      <c r="C15" s="1" t="n">
        <v>46197</v>
      </c>
      <c r="D15" t="inlineStr">
        <is>
          <t>ÖREBRO LÄN</t>
        </is>
      </c>
      <c r="E15" t="inlineStr">
        <is>
          <t>LJUSNARSBERG</t>
        </is>
      </c>
      <c r="G15" t="n">
        <v>5.7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HYPERLINK("https://klasma.github.io/Logging_1864/artfynd/A 62105-2022 artfynd.xlsx", "A 62105-2022")</f>
        <v/>
      </c>
      <c r="T15">
        <f>HYPERLINK("https://klasma.github.io/Logging_1864/kartor/A 62105-2022 karta.png", "A 62105-2022")</f>
        <v/>
      </c>
      <c r="V15">
        <f>HYPERLINK("https://klasma.github.io/Logging_1864/klagomål/A 62105-2022 FSC-klagomål.docx", "A 62105-2022")</f>
        <v/>
      </c>
      <c r="W15">
        <f>HYPERLINK("https://klasma.github.io/Logging_1864/klagomålsmail/A 62105-2022 FSC-klagomål mail.docx", "A 62105-2022")</f>
        <v/>
      </c>
      <c r="X15">
        <f>HYPERLINK("https://klasma.github.io/Logging_1864/tillsyn/A 62105-2022 tillsynsbegäran.docx", "A 62105-2022")</f>
        <v/>
      </c>
      <c r="Y15">
        <f>HYPERLINK("https://klasma.github.io/Logging_1864/tillsynsmail/A 62105-2022 tillsynsbegäran mail.docx", "A 62105-2022")</f>
        <v/>
      </c>
      <c r="Z15">
        <f>HYPERLINK("https://klasma.github.io/Logging_1864/fåglar/A 62105-2022 prioriterade fågelarter.docx", "A 62105-2022")</f>
        <v/>
      </c>
    </row>
    <row r="16" ht="15" customHeight="1">
      <c r="A16" t="inlineStr">
        <is>
          <t>A 53729-2024</t>
        </is>
      </c>
      <c r="B16" s="1" t="n">
        <v>45614</v>
      </c>
      <c r="C16" s="1" t="n">
        <v>46197</v>
      </c>
      <c r="D16" t="inlineStr">
        <is>
          <t>ÖREBRO LÄN</t>
        </is>
      </c>
      <c r="E16" t="inlineStr">
        <is>
          <t>LJUSNARSBERG</t>
        </is>
      </c>
      <c r="G16" t="n">
        <v>14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Aspfjädermossa
Smal svampklubba</t>
        </is>
      </c>
      <c r="S16">
        <f>HYPERLINK("https://klasma.github.io/Logging_1864/artfynd/A 53729-2024 artfynd.xlsx", "A 53729-2024")</f>
        <v/>
      </c>
      <c r="T16">
        <f>HYPERLINK("https://klasma.github.io/Logging_1864/kartor/A 53729-2024 karta.png", "A 53729-2024")</f>
        <v/>
      </c>
      <c r="V16">
        <f>HYPERLINK("https://klasma.github.io/Logging_1864/klagomål/A 53729-2024 FSC-klagomål.docx", "A 53729-2024")</f>
        <v/>
      </c>
      <c r="W16">
        <f>HYPERLINK("https://klasma.github.io/Logging_1864/klagomålsmail/A 53729-2024 FSC-klagomål mail.docx", "A 53729-2024")</f>
        <v/>
      </c>
      <c r="X16">
        <f>HYPERLINK("https://klasma.github.io/Logging_1864/tillsyn/A 53729-2024 tillsynsbegäran.docx", "A 53729-2024")</f>
        <v/>
      </c>
      <c r="Y16">
        <f>HYPERLINK("https://klasma.github.io/Logging_1864/tillsynsmail/A 53729-2024 tillsynsbegäran mail.docx", "A 53729-2024")</f>
        <v/>
      </c>
    </row>
    <row r="17" ht="15" customHeight="1">
      <c r="A17" t="inlineStr">
        <is>
          <t>A 49157-2023</t>
        </is>
      </c>
      <c r="B17" s="1" t="n">
        <v>45210</v>
      </c>
      <c r="C17" s="1" t="n">
        <v>46197</v>
      </c>
      <c r="D17" t="inlineStr">
        <is>
          <t>ÖREBRO LÄN</t>
        </is>
      </c>
      <c r="E17" t="inlineStr">
        <is>
          <t>LJUSNARSBERG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Skogshakmossa</t>
        </is>
      </c>
      <c r="S17">
        <f>HYPERLINK("https://klasma.github.io/Logging_1864/artfynd/A 49157-2023 artfynd.xlsx", "A 49157-2023")</f>
        <v/>
      </c>
      <c r="T17">
        <f>HYPERLINK("https://klasma.github.io/Logging_1864/kartor/A 49157-2023 karta.png", "A 49157-2023")</f>
        <v/>
      </c>
      <c r="V17">
        <f>HYPERLINK("https://klasma.github.io/Logging_1864/klagomål/A 49157-2023 FSC-klagomål.docx", "A 49157-2023")</f>
        <v/>
      </c>
      <c r="W17">
        <f>HYPERLINK("https://klasma.github.io/Logging_1864/klagomålsmail/A 49157-2023 FSC-klagomål mail.docx", "A 49157-2023")</f>
        <v/>
      </c>
      <c r="X17">
        <f>HYPERLINK("https://klasma.github.io/Logging_1864/tillsyn/A 49157-2023 tillsynsbegäran.docx", "A 49157-2023")</f>
        <v/>
      </c>
      <c r="Y17">
        <f>HYPERLINK("https://klasma.github.io/Logging_1864/tillsynsmail/A 49157-2023 tillsynsbegäran mail.docx", "A 49157-2023")</f>
        <v/>
      </c>
    </row>
    <row r="18" ht="15" customHeight="1">
      <c r="A18" t="inlineStr">
        <is>
          <t>A 45536-2024</t>
        </is>
      </c>
      <c r="B18" s="1" t="n">
        <v>45578</v>
      </c>
      <c r="C18" s="1" t="n">
        <v>46197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Tvåblad
Fläcknycklar</t>
        </is>
      </c>
      <c r="S18">
        <f>HYPERLINK("https://klasma.github.io/Logging_1864/artfynd/A 45536-2024 artfynd.xlsx", "A 45536-2024")</f>
        <v/>
      </c>
      <c r="T18">
        <f>HYPERLINK("https://klasma.github.io/Logging_1864/kartor/A 45536-2024 karta.png", "A 45536-2024")</f>
        <v/>
      </c>
      <c r="V18">
        <f>HYPERLINK("https://klasma.github.io/Logging_1864/klagomål/A 45536-2024 FSC-klagomål.docx", "A 45536-2024")</f>
        <v/>
      </c>
      <c r="W18">
        <f>HYPERLINK("https://klasma.github.io/Logging_1864/klagomålsmail/A 45536-2024 FSC-klagomål mail.docx", "A 45536-2024")</f>
        <v/>
      </c>
      <c r="X18">
        <f>HYPERLINK("https://klasma.github.io/Logging_1864/tillsyn/A 45536-2024 tillsynsbegäran.docx", "A 45536-2024")</f>
        <v/>
      </c>
      <c r="Y18">
        <f>HYPERLINK("https://klasma.github.io/Logging_1864/tillsynsmail/A 45536-2024 tillsynsbegäran mail.docx", "A 45536-2024")</f>
        <v/>
      </c>
    </row>
    <row r="19" ht="15" customHeight="1">
      <c r="A19" t="inlineStr">
        <is>
          <t>A 56179-2024</t>
        </is>
      </c>
      <c r="B19" s="1" t="n">
        <v>45623</v>
      </c>
      <c r="C19" s="1" t="n">
        <v>46197</v>
      </c>
      <c r="D19" t="inlineStr">
        <is>
          <t>ÖREBRO LÄN</t>
        </is>
      </c>
      <c r="E19" t="inlineStr">
        <is>
          <t>LJUSNARSBERG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HYPERLINK("https://klasma.github.io/Logging_1864/artfynd/A 56179-2024 artfynd.xlsx", "A 56179-2024")</f>
        <v/>
      </c>
      <c r="T19">
        <f>HYPERLINK("https://klasma.github.io/Logging_1864/kartor/A 56179-2024 karta.png", "A 56179-2024")</f>
        <v/>
      </c>
      <c r="V19">
        <f>HYPERLINK("https://klasma.github.io/Logging_1864/klagomål/A 56179-2024 FSC-klagomål.docx", "A 56179-2024")</f>
        <v/>
      </c>
      <c r="W19">
        <f>HYPERLINK("https://klasma.github.io/Logging_1864/klagomålsmail/A 56179-2024 FSC-klagomål mail.docx", "A 56179-2024")</f>
        <v/>
      </c>
      <c r="X19">
        <f>HYPERLINK("https://klasma.github.io/Logging_1864/tillsyn/A 56179-2024 tillsynsbegäran.docx", "A 56179-2024")</f>
        <v/>
      </c>
      <c r="Y19">
        <f>HYPERLINK("https://klasma.github.io/Logging_1864/tillsynsmail/A 56179-2024 tillsynsbegäran mail.docx", "A 56179-2024")</f>
        <v/>
      </c>
    </row>
    <row r="20" ht="15" customHeight="1">
      <c r="A20" t="inlineStr">
        <is>
          <t>A 39514-2025</t>
        </is>
      </c>
      <c r="B20" s="1" t="n">
        <v>45890</v>
      </c>
      <c r="C20" s="1" t="n">
        <v>46197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HYPERLINK("https://klasma.github.io/Logging_1864/artfynd/A 39514-2025 artfynd.xlsx", "A 39514-2025")</f>
        <v/>
      </c>
      <c r="T20">
        <f>HYPERLINK("https://klasma.github.io/Logging_1864/kartor/A 39514-2025 karta.png", "A 39514-2025")</f>
        <v/>
      </c>
      <c r="V20">
        <f>HYPERLINK("https://klasma.github.io/Logging_1864/klagomål/A 39514-2025 FSC-klagomål.docx", "A 39514-2025")</f>
        <v/>
      </c>
      <c r="W20">
        <f>HYPERLINK("https://klasma.github.io/Logging_1864/klagomålsmail/A 39514-2025 FSC-klagomål mail.docx", "A 39514-2025")</f>
        <v/>
      </c>
      <c r="X20">
        <f>HYPERLINK("https://klasma.github.io/Logging_1864/tillsyn/A 39514-2025 tillsynsbegäran.docx", "A 39514-2025")</f>
        <v/>
      </c>
      <c r="Y20">
        <f>HYPERLINK("https://klasma.github.io/Logging_1864/tillsynsmail/A 39514-2025 tillsynsbegäran mail.docx", "A 39514-2025")</f>
        <v/>
      </c>
    </row>
    <row r="21" ht="15" customHeight="1">
      <c r="A21" t="inlineStr">
        <is>
          <t>A 47023-2025</t>
        </is>
      </c>
      <c r="B21" s="1" t="n">
        <v>45929</v>
      </c>
      <c r="C21" s="1" t="n">
        <v>46197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HYPERLINK("https://klasma.github.io/Logging_1864/artfynd/A 47023-2025 artfynd.xlsx", "A 47023-2025")</f>
        <v/>
      </c>
      <c r="T21">
        <f>HYPERLINK("https://klasma.github.io/Logging_1864/kartor/A 47023-2025 karta.png", "A 47023-2025")</f>
        <v/>
      </c>
      <c r="V21">
        <f>HYPERLINK("https://klasma.github.io/Logging_1864/klagomål/A 47023-2025 FSC-klagomål.docx", "A 47023-2025")</f>
        <v/>
      </c>
      <c r="W21">
        <f>HYPERLINK("https://klasma.github.io/Logging_1864/klagomålsmail/A 47023-2025 FSC-klagomål mail.docx", "A 47023-2025")</f>
        <v/>
      </c>
      <c r="X21">
        <f>HYPERLINK("https://klasma.github.io/Logging_1864/tillsyn/A 47023-2025 tillsynsbegäran.docx", "A 47023-2025")</f>
        <v/>
      </c>
      <c r="Y21">
        <f>HYPERLINK("https://klasma.github.io/Logging_1864/tillsynsmail/A 47023-2025 tillsynsbegäran mail.docx", "A 47023-2025")</f>
        <v/>
      </c>
    </row>
    <row r="22" ht="15" customHeight="1">
      <c r="A22" t="inlineStr">
        <is>
          <t>A 20797-2022</t>
        </is>
      </c>
      <c r="B22" s="1" t="n">
        <v>44701</v>
      </c>
      <c r="C22" s="1" t="n">
        <v>46197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HYPERLINK("https://klasma.github.io/Logging_1864/artfynd/A 20797-2022 artfynd.xlsx", "A 20797-2022")</f>
        <v/>
      </c>
      <c r="T22">
        <f>HYPERLINK("https://klasma.github.io/Logging_1864/kartor/A 20797-2022 karta.png", "A 20797-2022")</f>
        <v/>
      </c>
      <c r="V22">
        <f>HYPERLINK("https://klasma.github.io/Logging_1864/klagomål/A 20797-2022 FSC-klagomål.docx", "A 20797-2022")</f>
        <v/>
      </c>
      <c r="W22">
        <f>HYPERLINK("https://klasma.github.io/Logging_1864/klagomålsmail/A 20797-2022 FSC-klagomål mail.docx", "A 20797-2022")</f>
        <v/>
      </c>
      <c r="X22">
        <f>HYPERLINK("https://klasma.github.io/Logging_1864/tillsyn/A 20797-2022 tillsynsbegäran.docx", "A 20797-2022")</f>
        <v/>
      </c>
      <c r="Y22">
        <f>HYPERLINK("https://klasma.github.io/Logging_1864/tillsynsmail/A 20797-2022 tillsynsbegäran mail.docx", "A 20797-2022")</f>
        <v/>
      </c>
    </row>
    <row r="23" ht="15" customHeight="1">
      <c r="A23" t="inlineStr">
        <is>
          <t>A 24791-2024</t>
        </is>
      </c>
      <c r="B23" s="1" t="n">
        <v>45460</v>
      </c>
      <c r="C23" s="1" t="n">
        <v>46197</v>
      </c>
      <c r="D23" t="inlineStr">
        <is>
          <t>ÖREBRO LÄN</t>
        </is>
      </c>
      <c r="E23" t="inlineStr">
        <is>
          <t>LJUSNARSBERG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HYPERLINK("https://klasma.github.io/Logging_1864/artfynd/A 24791-2024 artfynd.xlsx", "A 24791-2024")</f>
        <v/>
      </c>
      <c r="T23">
        <f>HYPERLINK("https://klasma.github.io/Logging_1864/kartor/A 24791-2024 karta.png", "A 24791-2024")</f>
        <v/>
      </c>
      <c r="V23">
        <f>HYPERLINK("https://klasma.github.io/Logging_1864/klagomål/A 24791-2024 FSC-klagomål.docx", "A 24791-2024")</f>
        <v/>
      </c>
      <c r="W23">
        <f>HYPERLINK("https://klasma.github.io/Logging_1864/klagomålsmail/A 24791-2024 FSC-klagomål mail.docx", "A 24791-2024")</f>
        <v/>
      </c>
      <c r="X23">
        <f>HYPERLINK("https://klasma.github.io/Logging_1864/tillsyn/A 24791-2024 tillsynsbegäran.docx", "A 24791-2024")</f>
        <v/>
      </c>
      <c r="Y23">
        <f>HYPERLINK("https://klasma.github.io/Logging_1864/tillsynsmail/A 24791-2024 tillsynsbegäran mail.docx", "A 24791-2024")</f>
        <v/>
      </c>
      <c r="Z23">
        <f>HYPERLINK("https://klasma.github.io/Logging_1864/fåglar/A 24791-2024 prioriterade fågelarter.docx", "A 24791-2024")</f>
        <v/>
      </c>
    </row>
    <row r="24" ht="15" customHeight="1">
      <c r="A24" t="inlineStr">
        <is>
          <t>A 56859-2025</t>
        </is>
      </c>
      <c r="B24" s="1" t="n">
        <v>45975</v>
      </c>
      <c r="C24" s="1" t="n">
        <v>46197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vattensalamander</t>
        </is>
      </c>
      <c r="S24">
        <f>HYPERLINK("https://klasma.github.io/Logging_1864/artfynd/A 56859-2025 artfynd.xlsx", "A 56859-2025")</f>
        <v/>
      </c>
      <c r="T24">
        <f>HYPERLINK("https://klasma.github.io/Logging_1864/kartor/A 56859-2025 karta.png", "A 56859-2025")</f>
        <v/>
      </c>
      <c r="V24">
        <f>HYPERLINK("https://klasma.github.io/Logging_1864/klagomål/A 56859-2025 FSC-klagomål.docx", "A 56859-2025")</f>
        <v/>
      </c>
      <c r="W24">
        <f>HYPERLINK("https://klasma.github.io/Logging_1864/klagomålsmail/A 56859-2025 FSC-klagomål mail.docx", "A 56859-2025")</f>
        <v/>
      </c>
      <c r="X24">
        <f>HYPERLINK("https://klasma.github.io/Logging_1864/tillsyn/A 56859-2025 tillsynsbegäran.docx", "A 56859-2025")</f>
        <v/>
      </c>
      <c r="Y24">
        <f>HYPERLINK("https://klasma.github.io/Logging_1864/tillsynsmail/A 56859-2025 tillsynsbegäran mail.docx", "A 56859-2025")</f>
        <v/>
      </c>
    </row>
    <row r="25" ht="15" customHeight="1">
      <c r="A25" t="inlineStr">
        <is>
          <t>A 19940-2026</t>
        </is>
      </c>
      <c r="B25" s="1" t="n">
        <v>46136</v>
      </c>
      <c r="C25" s="1" t="n">
        <v>46197</v>
      </c>
      <c r="D25" t="inlineStr">
        <is>
          <t>ÖREBRO LÄN</t>
        </is>
      </c>
      <c r="E25" t="inlineStr">
        <is>
          <t>LJUSNARSBERG</t>
        </is>
      </c>
      <c r="F25" t="inlineStr">
        <is>
          <t>Sveaskog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HYPERLINK("https://klasma.github.io/Logging_1864/artfynd/A 19940-2026 artfynd.xlsx", "A 19940-2026")</f>
        <v/>
      </c>
      <c r="T25">
        <f>HYPERLINK("https://klasma.github.io/Logging_1864/kartor/A 19940-2026 karta.png", "A 19940-2026")</f>
        <v/>
      </c>
      <c r="V25">
        <f>HYPERLINK("https://klasma.github.io/Logging_1864/klagomål/A 19940-2026 FSC-klagomål.docx", "A 19940-2026")</f>
        <v/>
      </c>
      <c r="W25">
        <f>HYPERLINK("https://klasma.github.io/Logging_1864/klagomålsmail/A 19940-2026 FSC-klagomål mail.docx", "A 19940-2026")</f>
        <v/>
      </c>
      <c r="X25">
        <f>HYPERLINK("https://klasma.github.io/Logging_1864/tillsyn/A 19940-2026 tillsynsbegäran.docx", "A 19940-2026")</f>
        <v/>
      </c>
      <c r="Y25">
        <f>HYPERLINK("https://klasma.github.io/Logging_1864/tillsynsmail/A 19940-2026 tillsynsbegäran mail.docx", "A 19940-2026")</f>
        <v/>
      </c>
    </row>
    <row r="26" ht="15" customHeight="1">
      <c r="A26" t="inlineStr">
        <is>
          <t>A 39095-2022</t>
        </is>
      </c>
      <c r="B26" s="1" t="n">
        <v>44817</v>
      </c>
      <c r="C26" s="1" t="n">
        <v>46197</v>
      </c>
      <c r="D26" t="inlineStr">
        <is>
          <t>ÖREBRO LÄN</t>
        </is>
      </c>
      <c r="E26" t="inlineStr">
        <is>
          <t>LJUSNARSBERG</t>
        </is>
      </c>
      <c r="F26" t="inlineStr">
        <is>
          <t>Bergvik skog väst AB</t>
        </is>
      </c>
      <c r="G26" t="n">
        <v>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HYPERLINK("https://klasma.github.io/Logging_1864/artfynd/A 39095-2022 artfynd.xlsx", "A 39095-2022")</f>
        <v/>
      </c>
      <c r="T26">
        <f>HYPERLINK("https://klasma.github.io/Logging_1864/kartor/A 39095-2022 karta.png", "A 39095-2022")</f>
        <v/>
      </c>
      <c r="V26">
        <f>HYPERLINK("https://klasma.github.io/Logging_1864/klagomål/A 39095-2022 FSC-klagomål.docx", "A 39095-2022")</f>
        <v/>
      </c>
      <c r="W26">
        <f>HYPERLINK("https://klasma.github.io/Logging_1864/klagomålsmail/A 39095-2022 FSC-klagomål mail.docx", "A 39095-2022")</f>
        <v/>
      </c>
      <c r="X26">
        <f>HYPERLINK("https://klasma.github.io/Logging_1864/tillsyn/A 39095-2022 tillsynsbegäran.docx", "A 39095-2022")</f>
        <v/>
      </c>
      <c r="Y26">
        <f>HYPERLINK("https://klasma.github.io/Logging_1864/tillsynsmail/A 39095-2022 tillsynsbegäran mail.docx", "A 39095-2022")</f>
        <v/>
      </c>
    </row>
    <row r="27" ht="15" customHeight="1">
      <c r="A27" t="inlineStr">
        <is>
          <t>A 18857-2026</t>
        </is>
      </c>
      <c r="B27" s="1" t="n">
        <v>46127</v>
      </c>
      <c r="C27" s="1" t="n">
        <v>46197</v>
      </c>
      <c r="D27" t="inlineStr">
        <is>
          <t>ÖREBRO LÄN</t>
        </is>
      </c>
      <c r="E27" t="inlineStr">
        <is>
          <t>LJUSNARSBERG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HYPERLINK("https://klasma.github.io/Logging_1864/artfynd/A 18857-2026 artfynd.xlsx", "A 18857-2026")</f>
        <v/>
      </c>
      <c r="T27">
        <f>HYPERLINK("https://klasma.github.io/Logging_1864/kartor/A 18857-2026 karta.png", "A 18857-2026")</f>
        <v/>
      </c>
      <c r="V27">
        <f>HYPERLINK("https://klasma.github.io/Logging_1864/klagomål/A 18857-2026 FSC-klagomål.docx", "A 18857-2026")</f>
        <v/>
      </c>
      <c r="W27">
        <f>HYPERLINK("https://klasma.github.io/Logging_1864/klagomålsmail/A 18857-2026 FSC-klagomål mail.docx", "A 18857-2026")</f>
        <v/>
      </c>
      <c r="X27">
        <f>HYPERLINK("https://klasma.github.io/Logging_1864/tillsyn/A 18857-2026 tillsynsbegäran.docx", "A 18857-2026")</f>
        <v/>
      </c>
      <c r="Y27">
        <f>HYPERLINK("https://klasma.github.io/Logging_1864/tillsynsmail/A 18857-2026 tillsynsbegäran mail.docx", "A 18857-2026")</f>
        <v/>
      </c>
      <c r="Z27">
        <f>HYPERLINK("https://klasma.github.io/Logging_1864/fåglar/A 18857-2026 prioriterade fågelarter.docx", "A 18857-2026")</f>
        <v/>
      </c>
    </row>
    <row r="28" ht="15" customHeight="1">
      <c r="A28" t="inlineStr">
        <is>
          <t>A 45537-2024</t>
        </is>
      </c>
      <c r="B28" s="1" t="n">
        <v>45578</v>
      </c>
      <c r="C28" s="1" t="n">
        <v>46197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HYPERLINK("https://klasma.github.io/Logging_1864/artfynd/A 45537-2024 artfynd.xlsx", "A 45537-2024")</f>
        <v/>
      </c>
      <c r="T28">
        <f>HYPERLINK("https://klasma.github.io/Logging_1864/kartor/A 45537-2024 karta.png", "A 45537-2024")</f>
        <v/>
      </c>
      <c r="V28">
        <f>HYPERLINK("https://klasma.github.io/Logging_1864/klagomål/A 45537-2024 FSC-klagomål.docx", "A 45537-2024")</f>
        <v/>
      </c>
      <c r="W28">
        <f>HYPERLINK("https://klasma.github.io/Logging_1864/klagomålsmail/A 45537-2024 FSC-klagomål mail.docx", "A 45537-2024")</f>
        <v/>
      </c>
      <c r="X28">
        <f>HYPERLINK("https://klasma.github.io/Logging_1864/tillsyn/A 45537-2024 tillsynsbegäran.docx", "A 45537-2024")</f>
        <v/>
      </c>
      <c r="Y28">
        <f>HYPERLINK("https://klasma.github.io/Logging_1864/tillsynsmail/A 45537-2024 tillsynsbegäran mail.docx", "A 45537-2024")</f>
        <v/>
      </c>
    </row>
    <row r="29" ht="15" customHeight="1">
      <c r="A29" t="inlineStr">
        <is>
          <t>A 64400-2021</t>
        </is>
      </c>
      <c r="B29" s="1" t="n">
        <v>44511</v>
      </c>
      <c r="C29" s="1" t="n">
        <v>46197</v>
      </c>
      <c r="D29" t="inlineStr">
        <is>
          <t>ÖREBRO LÄN</t>
        </is>
      </c>
      <c r="E29" t="inlineStr">
        <is>
          <t>LJUSNARSBERG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44858-2021</t>
        </is>
      </c>
      <c r="B30" s="1" t="n">
        <v>44438</v>
      </c>
      <c r="C30" s="1" t="n">
        <v>46197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45859-2021</t>
        </is>
      </c>
      <c r="B31" s="1" t="n">
        <v>44441</v>
      </c>
      <c r="C31" s="1" t="n">
        <v>46197</v>
      </c>
      <c r="D31" t="inlineStr">
        <is>
          <t>ÖREBRO LÄN</t>
        </is>
      </c>
      <c r="E31" t="inlineStr">
        <is>
          <t>LJUSNARSBERG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72157-2021</t>
        </is>
      </c>
      <c r="B32" s="1" t="n">
        <v>44544</v>
      </c>
      <c r="C32" s="1" t="n">
        <v>46197</v>
      </c>
      <c r="D32" t="inlineStr">
        <is>
          <t>ÖREBRO LÄN</t>
        </is>
      </c>
      <c r="E32" t="inlineStr">
        <is>
          <t>LJUSNARSBERG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64978-2021</t>
        </is>
      </c>
      <c r="B33" s="1" t="n">
        <v>44513</v>
      </c>
      <c r="C33" s="1" t="n">
        <v>46197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1320-2022</t>
        </is>
      </c>
      <c r="B34" s="1" t="n">
        <v>44572</v>
      </c>
      <c r="C34" s="1" t="n">
        <v>46197</v>
      </c>
      <c r="D34" t="inlineStr">
        <is>
          <t>ÖREBRO LÄN</t>
        </is>
      </c>
      <c r="E34" t="inlineStr">
        <is>
          <t>LJUSNARSBERG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32309-2022</t>
        </is>
      </c>
      <c r="B35" s="1" t="n">
        <v>44781</v>
      </c>
      <c r="C35" s="1" t="n">
        <v>46197</v>
      </c>
      <c r="D35" t="inlineStr">
        <is>
          <t>ÖREBRO LÄN</t>
        </is>
      </c>
      <c r="E35" t="inlineStr">
        <is>
          <t>LJUSNARSBERG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36547-2021</t>
        </is>
      </c>
      <c r="B36" s="1" t="n">
        <v>44391</v>
      </c>
      <c r="C36" s="1" t="n">
        <v>46197</v>
      </c>
      <c r="D36" t="inlineStr">
        <is>
          <t>ÖREBRO LÄN</t>
        </is>
      </c>
      <c r="E36" t="inlineStr">
        <is>
          <t>LJUSNARSBERG</t>
        </is>
      </c>
      <c r="G36" t="n">
        <v>23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44293-2021</t>
        </is>
      </c>
      <c r="B37" s="1" t="n">
        <v>44435</v>
      </c>
      <c r="C37" s="1" t="n">
        <v>46197</v>
      </c>
      <c r="D37" t="inlineStr">
        <is>
          <t>ÖREBRO LÄN</t>
        </is>
      </c>
      <c r="E37" t="inlineStr">
        <is>
          <t>LJUSNARSBERG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39187-2021</t>
        </is>
      </c>
      <c r="B38" s="1" t="n">
        <v>44412</v>
      </c>
      <c r="C38" s="1" t="n">
        <v>46197</v>
      </c>
      <c r="D38" t="inlineStr">
        <is>
          <t>ÖREBRO LÄN</t>
        </is>
      </c>
      <c r="E38" t="inlineStr">
        <is>
          <t>LJUSNARSBERG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5636-2022</t>
        </is>
      </c>
      <c r="B39" s="1" t="n">
        <v>44595</v>
      </c>
      <c r="C39" s="1" t="n">
        <v>46197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25773-2022</t>
        </is>
      </c>
      <c r="B40" s="1" t="n">
        <v>44733</v>
      </c>
      <c r="C40" s="1" t="n">
        <v>46197</v>
      </c>
      <c r="D40" t="inlineStr">
        <is>
          <t>ÖREBRO LÄN</t>
        </is>
      </c>
      <c r="E40" t="inlineStr">
        <is>
          <t>LJUSNARSBERG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38276-2022</t>
        </is>
      </c>
      <c r="B41" s="1" t="n">
        <v>44812</v>
      </c>
      <c r="C41" s="1" t="n">
        <v>46197</v>
      </c>
      <c r="D41" t="inlineStr">
        <is>
          <t>ÖREBRO LÄN</t>
        </is>
      </c>
      <c r="E41" t="inlineStr">
        <is>
          <t>LJUSNARSBERG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35976-2022</t>
        </is>
      </c>
      <c r="B42" s="1" t="n">
        <v>44690</v>
      </c>
      <c r="C42" s="1" t="n">
        <v>46197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50552-2022</t>
        </is>
      </c>
      <c r="B43" s="1" t="n">
        <v>44866</v>
      </c>
      <c r="C43" s="1" t="n">
        <v>46197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44282-2021</t>
        </is>
      </c>
      <c r="B44" s="1" t="n">
        <v>44435</v>
      </c>
      <c r="C44" s="1" t="n">
        <v>46197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</v>
      </c>
      <c r="C45" s="1" t="n">
        <v>46197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33858-2022</t>
        </is>
      </c>
      <c r="B46" s="1" t="n">
        <v>44790</v>
      </c>
      <c r="C46" s="1" t="n">
        <v>46197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38277-2022</t>
        </is>
      </c>
      <c r="B47" s="1" t="n">
        <v>44812</v>
      </c>
      <c r="C47" s="1" t="n">
        <v>46197</v>
      </c>
      <c r="D47" t="inlineStr">
        <is>
          <t>ÖREBRO LÄN</t>
        </is>
      </c>
      <c r="E47" t="inlineStr">
        <is>
          <t>LJUSNARSBERG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48353-2022</t>
        </is>
      </c>
      <c r="B48" s="1" t="n">
        <v>44858</v>
      </c>
      <c r="C48" s="1" t="n">
        <v>46197</v>
      </c>
      <c r="D48" t="inlineStr">
        <is>
          <t>ÖREBRO LÄN</t>
        </is>
      </c>
      <c r="E48" t="inlineStr">
        <is>
          <t>LJUSNARSBERG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13803-2024</t>
        </is>
      </c>
      <c r="B49" s="1" t="n">
        <v>45390</v>
      </c>
      <c r="C49" s="1" t="n">
        <v>46197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18975-2025</t>
        </is>
      </c>
      <c r="B50" s="1" t="n">
        <v>45764</v>
      </c>
      <c r="C50" s="1" t="n">
        <v>46197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53395-2021</t>
        </is>
      </c>
      <c r="B51" s="1" t="n">
        <v>44468</v>
      </c>
      <c r="C51" s="1" t="n">
        <v>46197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44780-2024</t>
        </is>
      </c>
      <c r="B52" s="1" t="n">
        <v>45574</v>
      </c>
      <c r="C52" s="1" t="n">
        <v>46197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30774-2023</t>
        </is>
      </c>
      <c r="B53" s="1" t="n">
        <v>45112</v>
      </c>
      <c r="C53" s="1" t="n">
        <v>46197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17923-2024</t>
        </is>
      </c>
      <c r="B54" s="1" t="n">
        <v>45419</v>
      </c>
      <c r="C54" s="1" t="n">
        <v>46197</v>
      </c>
      <c r="D54" t="inlineStr">
        <is>
          <t>ÖREBRO LÄN</t>
        </is>
      </c>
      <c r="E54" t="inlineStr">
        <is>
          <t>LJUSNARSBERG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17924-2024</t>
        </is>
      </c>
      <c r="B55" s="1" t="n">
        <v>45419</v>
      </c>
      <c r="C55" s="1" t="n">
        <v>46197</v>
      </c>
      <c r="D55" t="inlineStr">
        <is>
          <t>ÖREBRO LÄN</t>
        </is>
      </c>
      <c r="E55" t="inlineStr">
        <is>
          <t>LJUSNARSBERG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33974-2023</t>
        </is>
      </c>
      <c r="B56" s="1" t="n">
        <v>45124</v>
      </c>
      <c r="C56" s="1" t="n">
        <v>46197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33979-2023</t>
        </is>
      </c>
      <c r="B57" s="1" t="n">
        <v>45124</v>
      </c>
      <c r="C57" s="1" t="n">
        <v>46197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7499-2024</t>
        </is>
      </c>
      <c r="B58" s="1" t="n">
        <v>45347</v>
      </c>
      <c r="C58" s="1" t="n">
        <v>46197</v>
      </c>
      <c r="D58" t="inlineStr">
        <is>
          <t>ÖREBRO LÄN</t>
        </is>
      </c>
      <c r="E58" t="inlineStr">
        <is>
          <t>LJUSNARSBERG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53789-2022</t>
        </is>
      </c>
      <c r="B59" s="1" t="n">
        <v>44880</v>
      </c>
      <c r="C59" s="1" t="n">
        <v>46197</v>
      </c>
      <c r="D59" t="inlineStr">
        <is>
          <t>ÖREBRO LÄN</t>
        </is>
      </c>
      <c r="E59" t="inlineStr">
        <is>
          <t>LJUSNARSBERG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2667-2026</t>
        </is>
      </c>
      <c r="B60" s="1" t="n">
        <v>46037</v>
      </c>
      <c r="C60" s="1" t="n">
        <v>46197</v>
      </c>
      <c r="D60" t="inlineStr">
        <is>
          <t>ÖREBRO LÄN</t>
        </is>
      </c>
      <c r="E60" t="inlineStr">
        <is>
          <t>LJUSNARSBERG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26469-2025</t>
        </is>
      </c>
      <c r="B61" s="1" t="n">
        <v>45807</v>
      </c>
      <c r="C61" s="1" t="n">
        <v>46197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59497-2024</t>
        </is>
      </c>
      <c r="B62" s="1" t="n">
        <v>45638</v>
      </c>
      <c r="C62" s="1" t="n">
        <v>46197</v>
      </c>
      <c r="D62" t="inlineStr">
        <is>
          <t>ÖREBRO LÄN</t>
        </is>
      </c>
      <c r="E62" t="inlineStr">
        <is>
          <t>LJUSNARSBERG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22887-2024</t>
        </is>
      </c>
      <c r="B63" s="1" t="n">
        <v>45448</v>
      </c>
      <c r="C63" s="1" t="n">
        <v>46197</v>
      </c>
      <c r="D63" t="inlineStr">
        <is>
          <t>ÖREBRO LÄN</t>
        </is>
      </c>
      <c r="E63" t="inlineStr">
        <is>
          <t>LJUSNARSBERG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20673-2025</t>
        </is>
      </c>
      <c r="B64" s="1" t="n">
        <v>45776</v>
      </c>
      <c r="C64" s="1" t="n">
        <v>46197</v>
      </c>
      <c r="D64" t="inlineStr">
        <is>
          <t>ÖREBRO LÄN</t>
        </is>
      </c>
      <c r="E64" t="inlineStr">
        <is>
          <t>LJUSNARSBERG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59630-2024</t>
        </is>
      </c>
      <c r="B65" s="1" t="n">
        <v>45638</v>
      </c>
      <c r="C65" s="1" t="n">
        <v>46197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31357-2025</t>
        </is>
      </c>
      <c r="B66" s="1" t="n">
        <v>45832</v>
      </c>
      <c r="C66" s="1" t="n">
        <v>46197</v>
      </c>
      <c r="D66" t="inlineStr">
        <is>
          <t>ÖREBRO LÄN</t>
        </is>
      </c>
      <c r="E66" t="inlineStr">
        <is>
          <t>LJUSNARSBERG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12482-2023</t>
        </is>
      </c>
      <c r="B67" s="1" t="n">
        <v>44999</v>
      </c>
      <c r="C67" s="1" t="n">
        <v>46197</v>
      </c>
      <c r="D67" t="inlineStr">
        <is>
          <t>ÖREBRO LÄN</t>
        </is>
      </c>
      <c r="E67" t="inlineStr">
        <is>
          <t>LJUSNARSBERG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37148-2023</t>
        </is>
      </c>
      <c r="B68" s="1" t="n">
        <v>45155</v>
      </c>
      <c r="C68" s="1" t="n">
        <v>46197</v>
      </c>
      <c r="D68" t="inlineStr">
        <is>
          <t>ÖREBRO LÄN</t>
        </is>
      </c>
      <c r="E68" t="inlineStr">
        <is>
          <t>LJUSNARSBERG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40442-2024</t>
        </is>
      </c>
      <c r="B69" s="1" t="n">
        <v>45555</v>
      </c>
      <c r="C69" s="1" t="n">
        <v>46197</v>
      </c>
      <c r="D69" t="inlineStr">
        <is>
          <t>ÖREBRO LÄN</t>
        </is>
      </c>
      <c r="E69" t="inlineStr">
        <is>
          <t>LJUSNARSBERG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29595-2025</t>
        </is>
      </c>
      <c r="B70" s="1" t="n">
        <v>45825</v>
      </c>
      <c r="C70" s="1" t="n">
        <v>46197</v>
      </c>
      <c r="D70" t="inlineStr">
        <is>
          <t>ÖREBRO LÄN</t>
        </is>
      </c>
      <c r="E70" t="inlineStr">
        <is>
          <t>LJUSNARSBERG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40477-2025</t>
        </is>
      </c>
      <c r="B71" s="1" t="n">
        <v>45895</v>
      </c>
      <c r="C71" s="1" t="n">
        <v>46197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28981-2025</t>
        </is>
      </c>
      <c r="B72" s="1" t="n">
        <v>45821</v>
      </c>
      <c r="C72" s="1" t="n">
        <v>46197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46197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40852-2025</t>
        </is>
      </c>
      <c r="B74" s="1" t="n">
        <v>45897</v>
      </c>
      <c r="C74" s="1" t="n">
        <v>46197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41032-2025</t>
        </is>
      </c>
      <c r="B75" s="1" t="n">
        <v>45897</v>
      </c>
      <c r="C75" s="1" t="n">
        <v>46197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30002-2025</t>
        </is>
      </c>
      <c r="B76" s="1" t="n">
        <v>45826</v>
      </c>
      <c r="C76" s="1" t="n">
        <v>46197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45538-2024</t>
        </is>
      </c>
      <c r="B77" s="1" t="n">
        <v>45578</v>
      </c>
      <c r="C77" s="1" t="n">
        <v>46197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41383-2025</t>
        </is>
      </c>
      <c r="B78" s="1" t="n">
        <v>45898</v>
      </c>
      <c r="C78" s="1" t="n">
        <v>46197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40933-2025</t>
        </is>
      </c>
      <c r="B79" s="1" t="n">
        <v>45897</v>
      </c>
      <c r="C79" s="1" t="n">
        <v>46197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41017-2025</t>
        </is>
      </c>
      <c r="B80" s="1" t="n">
        <v>45897</v>
      </c>
      <c r="C80" s="1" t="n">
        <v>46197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41420-2025</t>
        </is>
      </c>
      <c r="B81" s="1" t="n">
        <v>45898</v>
      </c>
      <c r="C81" s="1" t="n">
        <v>46197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40964-2025</t>
        </is>
      </c>
      <c r="B82" s="1" t="n">
        <v>45897</v>
      </c>
      <c r="C82" s="1" t="n">
        <v>46197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29572-2025</t>
        </is>
      </c>
      <c r="B83" s="1" t="n">
        <v>45825</v>
      </c>
      <c r="C83" s="1" t="n">
        <v>46197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30430-2025</t>
        </is>
      </c>
      <c r="B84" s="1" t="n">
        <v>45827</v>
      </c>
      <c r="C84" s="1" t="n">
        <v>46197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30428-2025</t>
        </is>
      </c>
      <c r="B85" s="1" t="n">
        <v>45827</v>
      </c>
      <c r="C85" s="1" t="n">
        <v>46197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44760-2024</t>
        </is>
      </c>
      <c r="B86" s="1" t="n">
        <v>45574</v>
      </c>
      <c r="C86" s="1" t="n">
        <v>46197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30930-2025</t>
        </is>
      </c>
      <c r="B87" s="1" t="n">
        <v>45832</v>
      </c>
      <c r="C87" s="1" t="n">
        <v>46197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30928-2025</t>
        </is>
      </c>
      <c r="B88" s="1" t="n">
        <v>45832</v>
      </c>
      <c r="C88" s="1" t="n">
        <v>46197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30935-2025</t>
        </is>
      </c>
      <c r="B89" s="1" t="n">
        <v>45832</v>
      </c>
      <c r="C89" s="1" t="n">
        <v>46197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42287-2025</t>
        </is>
      </c>
      <c r="B90" s="1" t="n">
        <v>45903</v>
      </c>
      <c r="C90" s="1" t="n">
        <v>46197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43078-2025</t>
        </is>
      </c>
      <c r="B91" s="1" t="n">
        <v>45909</v>
      </c>
      <c r="C91" s="1" t="n">
        <v>46197</v>
      </c>
      <c r="D91" t="inlineStr">
        <is>
          <t>ÖREBRO LÄN</t>
        </is>
      </c>
      <c r="E91" t="inlineStr">
        <is>
          <t>LJUSNARSBERG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44983-2024</t>
        </is>
      </c>
      <c r="B92" s="1" t="n">
        <v>45575</v>
      </c>
      <c r="C92" s="1" t="n">
        <v>46197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2607-2023</t>
        </is>
      </c>
      <c r="B93" s="1" t="n">
        <v>44939</v>
      </c>
      <c r="C93" s="1" t="n">
        <v>46197</v>
      </c>
      <c r="D93" t="inlineStr">
        <is>
          <t>ÖREBRO LÄN</t>
        </is>
      </c>
      <c r="E93" t="inlineStr">
        <is>
          <t>LJUSNARSBERG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44479-2025</t>
        </is>
      </c>
      <c r="B94" s="1" t="n">
        <v>45916</v>
      </c>
      <c r="C94" s="1" t="n">
        <v>46197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33622-2025</t>
        </is>
      </c>
      <c r="B95" s="1" t="n">
        <v>45841</v>
      </c>
      <c r="C95" s="1" t="n">
        <v>46197</v>
      </c>
      <c r="D95" t="inlineStr">
        <is>
          <t>ÖREBRO LÄN</t>
        </is>
      </c>
      <c r="E95" t="inlineStr">
        <is>
          <t>LJUSNARSBERG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40864-2025</t>
        </is>
      </c>
      <c r="B96" s="1" t="n">
        <v>45897</v>
      </c>
      <c r="C96" s="1" t="n">
        <v>46197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46805-2024</t>
        </is>
      </c>
      <c r="B97" s="1" t="n">
        <v>45583</v>
      </c>
      <c r="C97" s="1" t="n">
        <v>46197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58823-2022</t>
        </is>
      </c>
      <c r="B98" s="1" t="n">
        <v>44903</v>
      </c>
      <c r="C98" s="1" t="n">
        <v>46197</v>
      </c>
      <c r="D98" t="inlineStr">
        <is>
          <t>ÖREBRO LÄN</t>
        </is>
      </c>
      <c r="E98" t="inlineStr">
        <is>
          <t>LJUSNARSBERG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25574-2023</t>
        </is>
      </c>
      <c r="B99" s="1" t="n">
        <v>45089</v>
      </c>
      <c r="C99" s="1" t="n">
        <v>46197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46492-2025</t>
        </is>
      </c>
      <c r="B100" s="1" t="n">
        <v>45925</v>
      </c>
      <c r="C100" s="1" t="n">
        <v>46197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41610-2025</t>
        </is>
      </c>
      <c r="B101" s="1" t="n">
        <v>45901</v>
      </c>
      <c r="C101" s="1" t="n">
        <v>46197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24921-2023</t>
        </is>
      </c>
      <c r="B102" s="1" t="n">
        <v>45085</v>
      </c>
      <c r="C102" s="1" t="n">
        <v>46197</v>
      </c>
      <c r="D102" t="inlineStr">
        <is>
          <t>ÖREBRO LÄN</t>
        </is>
      </c>
      <c r="E102" t="inlineStr">
        <is>
          <t>LJUSNARSBERG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47411-2025</t>
        </is>
      </c>
      <c r="B103" s="1" t="n">
        <v>45930</v>
      </c>
      <c r="C103" s="1" t="n">
        <v>46197</v>
      </c>
      <c r="D103" t="inlineStr">
        <is>
          <t>ÖREBRO LÄN</t>
        </is>
      </c>
      <c r="E103" t="inlineStr">
        <is>
          <t>LJUSNARSBERG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122-2025</t>
        </is>
      </c>
      <c r="B104" s="1" t="n">
        <v>45659</v>
      </c>
      <c r="C104" s="1" t="n">
        <v>46197</v>
      </c>
      <c r="D104" t="inlineStr">
        <is>
          <t>ÖREBRO LÄN</t>
        </is>
      </c>
      <c r="E104" t="inlineStr">
        <is>
          <t>LJUSNARSBERG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47549-2025</t>
        </is>
      </c>
      <c r="B105" s="1" t="n">
        <v>45931</v>
      </c>
      <c r="C105" s="1" t="n">
        <v>46197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18938-2022</t>
        </is>
      </c>
      <c r="B106" s="1" t="n">
        <v>44690</v>
      </c>
      <c r="C106" s="1" t="n">
        <v>46197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5094-2026</t>
        </is>
      </c>
      <c r="B107" s="1" t="n">
        <v>46049</v>
      </c>
      <c r="C107" s="1" t="n">
        <v>46197</v>
      </c>
      <c r="D107" t="inlineStr">
        <is>
          <t>ÖREBRO LÄN</t>
        </is>
      </c>
      <c r="E107" t="inlineStr">
        <is>
          <t>LJUSNARSBERG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48501-2025</t>
        </is>
      </c>
      <c r="B108" s="1" t="n">
        <v>45936</v>
      </c>
      <c r="C108" s="1" t="n">
        <v>46197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59629-2024</t>
        </is>
      </c>
      <c r="B109" s="1" t="n">
        <v>45638</v>
      </c>
      <c r="C109" s="1" t="n">
        <v>46197</v>
      </c>
      <c r="D109" t="inlineStr">
        <is>
          <t>ÖREBRO LÄN</t>
        </is>
      </c>
      <c r="E109" t="inlineStr">
        <is>
          <t>LJUSNARSBERG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29721-2023</t>
        </is>
      </c>
      <c r="B110" s="1" t="n">
        <v>45107</v>
      </c>
      <c r="C110" s="1" t="n">
        <v>46197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48534-2025</t>
        </is>
      </c>
      <c r="B111" s="1" t="n">
        <v>45934</v>
      </c>
      <c r="C111" s="1" t="n">
        <v>46197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48540-2025</t>
        </is>
      </c>
      <c r="B112" s="1" t="n">
        <v>45934</v>
      </c>
      <c r="C112" s="1" t="n">
        <v>46197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48582-2025</t>
        </is>
      </c>
      <c r="B113" s="1" t="n">
        <v>45936</v>
      </c>
      <c r="C113" s="1" t="n">
        <v>46197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48542-2025</t>
        </is>
      </c>
      <c r="B114" s="1" t="n">
        <v>45934</v>
      </c>
      <c r="C114" s="1" t="n">
        <v>46197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48506-2025</t>
        </is>
      </c>
      <c r="B115" s="1" t="n">
        <v>45936</v>
      </c>
      <c r="C115" s="1" t="n">
        <v>46197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48573-2025</t>
        </is>
      </c>
      <c r="B116" s="1" t="n">
        <v>45936</v>
      </c>
      <c r="C116" s="1" t="n">
        <v>46197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48204-2025</t>
        </is>
      </c>
      <c r="B117" s="1" t="n">
        <v>45933</v>
      </c>
      <c r="C117" s="1" t="n">
        <v>46197</v>
      </c>
      <c r="D117" t="inlineStr">
        <is>
          <t>ÖREBRO LÄN</t>
        </is>
      </c>
      <c r="E117" t="inlineStr">
        <is>
          <t>LJUSNARSBERG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48564-2025</t>
        </is>
      </c>
      <c r="B118" s="1" t="n">
        <v>45934</v>
      </c>
      <c r="C118" s="1" t="n">
        <v>46197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26617-2022</t>
        </is>
      </c>
      <c r="B119" s="1" t="n">
        <v>44739</v>
      </c>
      <c r="C119" s="1" t="n">
        <v>46197</v>
      </c>
      <c r="D119" t="inlineStr">
        <is>
          <t>ÖREBRO LÄN</t>
        </is>
      </c>
      <c r="E119" t="inlineStr">
        <is>
          <t>LJUSNARSBERG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50865-2025</t>
        </is>
      </c>
      <c r="B120" s="1" t="n">
        <v>45946</v>
      </c>
      <c r="C120" s="1" t="n">
        <v>46197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19368-2025</t>
        </is>
      </c>
      <c r="B121" s="1" t="n">
        <v>45769</v>
      </c>
      <c r="C121" s="1" t="n">
        <v>46197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59627-2024</t>
        </is>
      </c>
      <c r="B122" s="1" t="n">
        <v>45638</v>
      </c>
      <c r="C122" s="1" t="n">
        <v>46197</v>
      </c>
      <c r="D122" t="inlineStr">
        <is>
          <t>ÖREBRO LÄN</t>
        </is>
      </c>
      <c r="E122" t="inlineStr">
        <is>
          <t>LJUSNARSBERG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23346-2022</t>
        </is>
      </c>
      <c r="B123" s="1" t="n">
        <v>44720</v>
      </c>
      <c r="C123" s="1" t="n">
        <v>46197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17933-2024</t>
        </is>
      </c>
      <c r="B124" s="1" t="n">
        <v>45419</v>
      </c>
      <c r="C124" s="1" t="n">
        <v>46197</v>
      </c>
      <c r="D124" t="inlineStr">
        <is>
          <t>ÖREBRO LÄN</t>
        </is>
      </c>
      <c r="E124" t="inlineStr">
        <is>
          <t>LJUSNARSBERG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23372-2022</t>
        </is>
      </c>
      <c r="B125" s="1" t="n">
        <v>44720</v>
      </c>
      <c r="C125" s="1" t="n">
        <v>46197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51693-2025</t>
        </is>
      </c>
      <c r="B126" s="1" t="n">
        <v>45951</v>
      </c>
      <c r="C126" s="1" t="n">
        <v>46197</v>
      </c>
      <c r="D126" t="inlineStr">
        <is>
          <t>ÖREBRO LÄN</t>
        </is>
      </c>
      <c r="E126" t="inlineStr">
        <is>
          <t>LJUSNARSBERG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26165-2022</t>
        </is>
      </c>
      <c r="B127" s="1" t="n">
        <v>44734</v>
      </c>
      <c r="C127" s="1" t="n">
        <v>46197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57400-2025</t>
        </is>
      </c>
      <c r="B128" s="1" t="n">
        <v>45980</v>
      </c>
      <c r="C128" s="1" t="n">
        <v>46197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57392-2025</t>
        </is>
      </c>
      <c r="B129" s="1" t="n">
        <v>45980</v>
      </c>
      <c r="C129" s="1" t="n">
        <v>46197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392-2022</t>
        </is>
      </c>
      <c r="B130" s="1" t="n">
        <v>44565</v>
      </c>
      <c r="C130" s="1" t="n">
        <v>46197</v>
      </c>
      <c r="D130" t="inlineStr">
        <is>
          <t>ÖREBRO LÄN</t>
        </is>
      </c>
      <c r="E130" t="inlineStr">
        <is>
          <t>LJUSNARSBERG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61579-2025</t>
        </is>
      </c>
      <c r="B131" s="1" t="n">
        <v>46002</v>
      </c>
      <c r="C131" s="1" t="n">
        <v>46197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52489-2022</t>
        </is>
      </c>
      <c r="B132" s="1" t="n">
        <v>44874</v>
      </c>
      <c r="C132" s="1" t="n">
        <v>46197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30414-2023</t>
        </is>
      </c>
      <c r="B133" s="1" t="n">
        <v>45111</v>
      </c>
      <c r="C133" s="1" t="n">
        <v>46197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13800-2026</t>
        </is>
      </c>
      <c r="B134" s="1" t="n">
        <v>46097</v>
      </c>
      <c r="C134" s="1" t="n">
        <v>46197</v>
      </c>
      <c r="D134" t="inlineStr">
        <is>
          <t>ÖREBRO LÄN</t>
        </is>
      </c>
      <c r="E134" t="inlineStr">
        <is>
          <t>LJUSNARSBERG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46263-2021</t>
        </is>
      </c>
      <c r="B135" s="1" t="n">
        <v>44442</v>
      </c>
      <c r="C135" s="1" t="n">
        <v>46197</v>
      </c>
      <c r="D135" t="inlineStr">
        <is>
          <t>ÖREBRO LÄN</t>
        </is>
      </c>
      <c r="E135" t="inlineStr">
        <is>
          <t>LJUSNARSBERG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63411-2025</t>
        </is>
      </c>
      <c r="B136" s="1" t="n">
        <v>46013</v>
      </c>
      <c r="C136" s="1" t="n">
        <v>46197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62667-2022</t>
        </is>
      </c>
      <c r="B137" s="1" t="n">
        <v>44917</v>
      </c>
      <c r="C137" s="1" t="n">
        <v>46197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44788-2021</t>
        </is>
      </c>
      <c r="B138" s="1" t="n">
        <v>44438</v>
      </c>
      <c r="C138" s="1" t="n">
        <v>46197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25098-2023</t>
        </is>
      </c>
      <c r="B139" s="1" t="n">
        <v>45086</v>
      </c>
      <c r="C139" s="1" t="n">
        <v>46197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14500-2024</t>
        </is>
      </c>
      <c r="B140" s="1" t="n">
        <v>45394</v>
      </c>
      <c r="C140" s="1" t="n">
        <v>46197</v>
      </c>
      <c r="D140" t="inlineStr">
        <is>
          <t>ÖREBRO LÄN</t>
        </is>
      </c>
      <c r="E140" t="inlineStr">
        <is>
          <t>LJUSNARSBERG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67746-2021</t>
        </is>
      </c>
      <c r="B141" s="1" t="n">
        <v>44524</v>
      </c>
      <c r="C141" s="1" t="n">
        <v>46197</v>
      </c>
      <c r="D141" t="inlineStr">
        <is>
          <t>ÖREBRO LÄN</t>
        </is>
      </c>
      <c r="E141" t="inlineStr">
        <is>
          <t>LJUSNARSBERG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23633-2026</t>
        </is>
      </c>
      <c r="B142" s="1" t="n">
        <v>46163</v>
      </c>
      <c r="C142" s="1" t="n">
        <v>46197</v>
      </c>
      <c r="D142" t="inlineStr">
        <is>
          <t>ÖREBRO LÄN</t>
        </is>
      </c>
      <c r="E142" t="inlineStr">
        <is>
          <t>LJUSNARSBERG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62679-2022</t>
        </is>
      </c>
      <c r="B143" s="1" t="n">
        <v>44917</v>
      </c>
      <c r="C143" s="1" t="n">
        <v>46197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46082-2024</t>
        </is>
      </c>
      <c r="B144" s="1" t="n">
        <v>45581</v>
      </c>
      <c r="C144" s="1" t="n">
        <v>46197</v>
      </c>
      <c r="D144" t="inlineStr">
        <is>
          <t>ÖREBRO LÄN</t>
        </is>
      </c>
      <c r="E144" t="inlineStr">
        <is>
          <t>LJUSNARSBERG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289-2022</t>
        </is>
      </c>
      <c r="B145" s="1" t="n">
        <v>44564</v>
      </c>
      <c r="C145" s="1" t="n">
        <v>46197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24374-2026</t>
        </is>
      </c>
      <c r="B146" s="1" t="n">
        <v>46167</v>
      </c>
      <c r="C146" s="1" t="n">
        <v>46197</v>
      </c>
      <c r="D146" t="inlineStr">
        <is>
          <t>ÖREBRO LÄN</t>
        </is>
      </c>
      <c r="E146" t="inlineStr">
        <is>
          <t>LJUSNARSBERG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24352-2026</t>
        </is>
      </c>
      <c r="B147" s="1" t="n">
        <v>46167</v>
      </c>
      <c r="C147" s="1" t="n">
        <v>46197</v>
      </c>
      <c r="D147" t="inlineStr">
        <is>
          <t>ÖREBRO LÄN</t>
        </is>
      </c>
      <c r="E147" t="inlineStr">
        <is>
          <t>LJUSNARSBERG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24307-2026</t>
        </is>
      </c>
      <c r="B148" s="1" t="n">
        <v>46167</v>
      </c>
      <c r="C148" s="1" t="n">
        <v>46197</v>
      </c>
      <c r="D148" t="inlineStr">
        <is>
          <t>ÖREBRO LÄN</t>
        </is>
      </c>
      <c r="E148" t="inlineStr">
        <is>
          <t>LJUSNARSBERG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24343-2026</t>
        </is>
      </c>
      <c r="B149" s="1" t="n">
        <v>46167</v>
      </c>
      <c r="C149" s="1" t="n">
        <v>46197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24348-2026</t>
        </is>
      </c>
      <c r="B150" s="1" t="n">
        <v>46167</v>
      </c>
      <c r="C150" s="1" t="n">
        <v>46197</v>
      </c>
      <c r="D150" t="inlineStr">
        <is>
          <t>ÖREBRO LÄN</t>
        </is>
      </c>
      <c r="E150" t="inlineStr">
        <is>
          <t>LJUSNARSBERG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24319-2026</t>
        </is>
      </c>
      <c r="B151" s="1" t="n">
        <v>46167</v>
      </c>
      <c r="C151" s="1" t="n">
        <v>46197</v>
      </c>
      <c r="D151" t="inlineStr">
        <is>
          <t>ÖREBRO LÄN</t>
        </is>
      </c>
      <c r="E151" t="inlineStr">
        <is>
          <t>LJUSNARSBERG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24299-2026</t>
        </is>
      </c>
      <c r="B152" s="1" t="n">
        <v>46167</v>
      </c>
      <c r="C152" s="1" t="n">
        <v>46197</v>
      </c>
      <c r="D152" t="inlineStr">
        <is>
          <t>ÖREBRO LÄN</t>
        </is>
      </c>
      <c r="E152" t="inlineStr">
        <is>
          <t>LJUSNARSBERG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24363-2026</t>
        </is>
      </c>
      <c r="B153" s="1" t="n">
        <v>46167</v>
      </c>
      <c r="C153" s="1" t="n">
        <v>46197</v>
      </c>
      <c r="D153" t="inlineStr">
        <is>
          <t>ÖREBRO LÄN</t>
        </is>
      </c>
      <c r="E153" t="inlineStr">
        <is>
          <t>LJUSNARSBERG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24350-2026</t>
        </is>
      </c>
      <c r="B154" s="1" t="n">
        <v>46167</v>
      </c>
      <c r="C154" s="1" t="n">
        <v>46197</v>
      </c>
      <c r="D154" t="inlineStr">
        <is>
          <t>ÖREBRO LÄN</t>
        </is>
      </c>
      <c r="E154" t="inlineStr">
        <is>
          <t>LJUSNARSBERG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46801-2024</t>
        </is>
      </c>
      <c r="B155" s="1" t="n">
        <v>45583</v>
      </c>
      <c r="C155" s="1" t="n">
        <v>46197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25671-2024</t>
        </is>
      </c>
      <c r="B156" s="1" t="n">
        <v>45463</v>
      </c>
      <c r="C156" s="1" t="n">
        <v>46197</v>
      </c>
      <c r="D156" t="inlineStr">
        <is>
          <t>ÖREBRO LÄN</t>
        </is>
      </c>
      <c r="E156" t="inlineStr">
        <is>
          <t>LJUSNARSBERG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16615-2025</t>
        </is>
      </c>
      <c r="B157" s="1" t="n">
        <v>45754</v>
      </c>
      <c r="C157" s="1" t="n">
        <v>46197</v>
      </c>
      <c r="D157" t="inlineStr">
        <is>
          <t>ÖREBRO LÄN</t>
        </is>
      </c>
      <c r="E157" t="inlineStr">
        <is>
          <t>LJUSNARSBERG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19738-2026</t>
        </is>
      </c>
      <c r="B158" s="1" t="n">
        <v>46133</v>
      </c>
      <c r="C158" s="1" t="n">
        <v>46197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19936-2026</t>
        </is>
      </c>
      <c r="B159" s="1" t="n">
        <v>46136</v>
      </c>
      <c r="C159" s="1" t="n">
        <v>46197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50524-2023</t>
        </is>
      </c>
      <c r="B160" s="1" t="n">
        <v>45217</v>
      </c>
      <c r="C160" s="1" t="n">
        <v>46197</v>
      </c>
      <c r="D160" t="inlineStr">
        <is>
          <t>ÖREBRO LÄN</t>
        </is>
      </c>
      <c r="E160" t="inlineStr">
        <is>
          <t>LJUSNARSBERG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19937-2026</t>
        </is>
      </c>
      <c r="B161" s="1" t="n">
        <v>46136</v>
      </c>
      <c r="C161" s="1" t="n">
        <v>46197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53595-2024</t>
        </is>
      </c>
      <c r="B162" s="1" t="n">
        <v>45614</v>
      </c>
      <c r="C162" s="1" t="n">
        <v>46197</v>
      </c>
      <c r="D162" t="inlineStr">
        <is>
          <t>ÖREBRO LÄN</t>
        </is>
      </c>
      <c r="E162" t="inlineStr">
        <is>
          <t>LJUSNARSBERG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61794-2024</t>
        </is>
      </c>
      <c r="B163" s="1" t="n">
        <v>45649</v>
      </c>
      <c r="C163" s="1" t="n">
        <v>46197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31295-2023</t>
        </is>
      </c>
      <c r="B164" s="1" t="n">
        <v>45103</v>
      </c>
      <c r="C164" s="1" t="n">
        <v>46197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52366-2024</t>
        </is>
      </c>
      <c r="B165" s="1" t="n">
        <v>45608</v>
      </c>
      <c r="C165" s="1" t="n">
        <v>46197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19857-2022</t>
        </is>
      </c>
      <c r="B166" s="1" t="n">
        <v>44694</v>
      </c>
      <c r="C166" s="1" t="n">
        <v>46197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33976-2023</t>
        </is>
      </c>
      <c r="B167" s="1" t="n">
        <v>45124</v>
      </c>
      <c r="C167" s="1" t="n">
        <v>46197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27343-2025</t>
        </is>
      </c>
      <c r="B168" s="1" t="n">
        <v>45812</v>
      </c>
      <c r="C168" s="1" t="n">
        <v>46197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46085-2024</t>
        </is>
      </c>
      <c r="B169" s="1" t="n">
        <v>45581</v>
      </c>
      <c r="C169" s="1" t="n">
        <v>46197</v>
      </c>
      <c r="D169" t="inlineStr">
        <is>
          <t>ÖREBRO LÄN</t>
        </is>
      </c>
      <c r="E169" t="inlineStr">
        <is>
          <t>LJUSNARSBERG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36108-2024</t>
        </is>
      </c>
      <c r="B170" s="1" t="n">
        <v>45533</v>
      </c>
      <c r="C170" s="1" t="n">
        <v>46197</v>
      </c>
      <c r="D170" t="inlineStr">
        <is>
          <t>ÖREBRO LÄN</t>
        </is>
      </c>
      <c r="E170" t="inlineStr">
        <is>
          <t>LJUSNARSBERG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43638-2025</t>
        </is>
      </c>
      <c r="B171" s="1" t="n">
        <v>45911</v>
      </c>
      <c r="C171" s="1" t="n">
        <v>46197</v>
      </c>
      <c r="D171" t="inlineStr">
        <is>
          <t>ÖREBRO LÄN</t>
        </is>
      </c>
      <c r="E171" t="inlineStr">
        <is>
          <t>LJUSNARSBERG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55787-2023</t>
        </is>
      </c>
      <c r="B172" s="1" t="n">
        <v>45239</v>
      </c>
      <c r="C172" s="1" t="n">
        <v>46197</v>
      </c>
      <c r="D172" t="inlineStr">
        <is>
          <t>ÖREBRO LÄN</t>
        </is>
      </c>
      <c r="E172" t="inlineStr">
        <is>
          <t>LJUSNARSBERG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33861-2022</t>
        </is>
      </c>
      <c r="B173" s="1" t="n">
        <v>44790</v>
      </c>
      <c r="C173" s="1" t="n">
        <v>46197</v>
      </c>
      <c r="D173" t="inlineStr">
        <is>
          <t>ÖREBRO LÄN</t>
        </is>
      </c>
      <c r="E173" t="inlineStr">
        <is>
          <t>LJUSNARSBERG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37066-2023</t>
        </is>
      </c>
      <c r="B174" s="1" t="n">
        <v>45155</v>
      </c>
      <c r="C174" s="1" t="n">
        <v>46197</v>
      </c>
      <c r="D174" t="inlineStr">
        <is>
          <t>ÖREBRO LÄN</t>
        </is>
      </c>
      <c r="E174" t="inlineStr">
        <is>
          <t>LJUSNARSBERG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26379-2026</t>
        </is>
      </c>
      <c r="B175" s="1" t="n">
        <v>46183</v>
      </c>
      <c r="C175" s="1" t="n">
        <v>46197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57129-2021</t>
        </is>
      </c>
      <c r="B176" s="1" t="n">
        <v>44482</v>
      </c>
      <c r="C176" s="1" t="n">
        <v>46197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12489-2023</t>
        </is>
      </c>
      <c r="B177" s="1" t="n">
        <v>44999</v>
      </c>
      <c r="C177" s="1" t="n">
        <v>46197</v>
      </c>
      <c r="D177" t="inlineStr">
        <is>
          <t>ÖREBRO LÄN</t>
        </is>
      </c>
      <c r="E177" t="inlineStr">
        <is>
          <t>LJUSNARSBERG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15114-2024</t>
        </is>
      </c>
      <c r="B178" s="1" t="n">
        <v>45399</v>
      </c>
      <c r="C178" s="1" t="n">
        <v>46197</v>
      </c>
      <c r="D178" t="inlineStr">
        <is>
          <t>ÖREBRO LÄN</t>
        </is>
      </c>
      <c r="E178" t="inlineStr">
        <is>
          <t>LJUSNARSBERG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26847-2026</t>
        </is>
      </c>
      <c r="B179" s="1" t="n">
        <v>46185</v>
      </c>
      <c r="C179" s="1" t="n">
        <v>46197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46146-2022</t>
        </is>
      </c>
      <c r="B180" s="1" t="n">
        <v>44847</v>
      </c>
      <c r="C180" s="1" t="n">
        <v>46197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7903-2022</t>
        </is>
      </c>
      <c r="B181" s="1" t="n">
        <v>44607</v>
      </c>
      <c r="C181" s="1" t="n">
        <v>46197</v>
      </c>
      <c r="D181" t="inlineStr">
        <is>
          <t>ÖREBRO LÄN</t>
        </is>
      </c>
      <c r="E181" t="inlineStr">
        <is>
          <t>LJUSNARSBERG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21186-2026</t>
        </is>
      </c>
      <c r="B182" s="1" t="n">
        <v>46146</v>
      </c>
      <c r="C182" s="1" t="n">
        <v>46197</v>
      </c>
      <c r="D182" t="inlineStr">
        <is>
          <t>ÖREBRO LÄN</t>
        </is>
      </c>
      <c r="E182" t="inlineStr">
        <is>
          <t>LJUSNARSBERG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62843-2021</t>
        </is>
      </c>
      <c r="B183" s="1" t="n">
        <v>44503</v>
      </c>
      <c r="C183" s="1" t="n">
        <v>46197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42761-2023</t>
        </is>
      </c>
      <c r="B184" s="1" t="n">
        <v>45177</v>
      </c>
      <c r="C184" s="1" t="n">
        <v>46197</v>
      </c>
      <c r="D184" t="inlineStr">
        <is>
          <t>ÖREBRO LÄN</t>
        </is>
      </c>
      <c r="E184" t="inlineStr">
        <is>
          <t>LJUSNARSBERG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21202-2026</t>
        </is>
      </c>
      <c r="B185" s="1" t="n">
        <v>46146</v>
      </c>
      <c r="C185" s="1" t="n">
        <v>46197</v>
      </c>
      <c r="D185" t="inlineStr">
        <is>
          <t>ÖREBRO LÄN</t>
        </is>
      </c>
      <c r="E185" t="inlineStr">
        <is>
          <t>LJUSNARSBERG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61580-2023</t>
        </is>
      </c>
      <c r="B186" s="1" t="n">
        <v>45265</v>
      </c>
      <c r="C186" s="1" t="n">
        <v>46197</v>
      </c>
      <c r="D186" t="inlineStr">
        <is>
          <t>ÖREBRO LÄN</t>
        </is>
      </c>
      <c r="E186" t="inlineStr">
        <is>
          <t>LJUSNARSBERG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47017-2025</t>
        </is>
      </c>
      <c r="B187" s="1" t="n">
        <v>45929</v>
      </c>
      <c r="C187" s="1" t="n">
        <v>46197</v>
      </c>
      <c r="D187" t="inlineStr">
        <is>
          <t>ÖREBRO LÄN</t>
        </is>
      </c>
      <c r="E187" t="inlineStr">
        <is>
          <t>LJUSNARSBERG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22366-2026</t>
        </is>
      </c>
      <c r="B188" s="1" t="n">
        <v>46154</v>
      </c>
      <c r="C188" s="1" t="n">
        <v>46197</v>
      </c>
      <c r="D188" t="inlineStr">
        <is>
          <t>ÖREBRO LÄN</t>
        </is>
      </c>
      <c r="E188" t="inlineStr">
        <is>
          <t>LJUSNARSBERG</t>
        </is>
      </c>
      <c r="G188" t="n">
        <v>14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32880-2025</t>
        </is>
      </c>
      <c r="B189" s="1" t="n">
        <v>45839</v>
      </c>
      <c r="C189" s="1" t="n">
        <v>46197</v>
      </c>
      <c r="D189" t="inlineStr">
        <is>
          <t>ÖREBRO LÄN</t>
        </is>
      </c>
      <c r="E189" t="inlineStr">
        <is>
          <t>LJUSNARSBERG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46197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17276-2023</t>
        </is>
      </c>
      <c r="B191" s="1" t="n">
        <v>45035</v>
      </c>
      <c r="C191" s="1" t="n">
        <v>46197</v>
      </c>
      <c r="D191" t="inlineStr">
        <is>
          <t>ÖREBRO LÄN</t>
        </is>
      </c>
      <c r="E191" t="inlineStr">
        <is>
          <t>LJUSNARSBERG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35151-2023</t>
        </is>
      </c>
      <c r="B192" s="1" t="n">
        <v>45145</v>
      </c>
      <c r="C192" s="1" t="n">
        <v>46197</v>
      </c>
      <c r="D192" t="inlineStr">
        <is>
          <t>ÖREBRO LÄN</t>
        </is>
      </c>
      <c r="E192" t="inlineStr">
        <is>
          <t>LJUSNARSBERG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46197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16613-2023</t>
        </is>
      </c>
      <c r="B194" s="1" t="n">
        <v>45030</v>
      </c>
      <c r="C194" s="1" t="n">
        <v>46197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33193-2024</t>
        </is>
      </c>
      <c r="B195" s="1" t="n">
        <v>45518</v>
      </c>
      <c r="C195" s="1" t="n">
        <v>46197</v>
      </c>
      <c r="D195" t="inlineStr">
        <is>
          <t>ÖREBRO LÄN</t>
        </is>
      </c>
      <c r="E195" t="inlineStr">
        <is>
          <t>LJUSNARSBERG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45539-2024</t>
        </is>
      </c>
      <c r="B196" s="1" t="n">
        <v>45578</v>
      </c>
      <c r="C196" s="1" t="n">
        <v>46197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29436-2023</t>
        </is>
      </c>
      <c r="B197" s="1" t="n">
        <v>45106</v>
      </c>
      <c r="C197" s="1" t="n">
        <v>46197</v>
      </c>
      <c r="D197" t="inlineStr">
        <is>
          <t>ÖREBRO LÄN</t>
        </is>
      </c>
      <c r="E197" t="inlineStr">
        <is>
          <t>LJUSNARSBERG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31167-2023</t>
        </is>
      </c>
      <c r="B198" s="1" t="n">
        <v>45103</v>
      </c>
      <c r="C198" s="1" t="n">
        <v>46197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18932-2022</t>
        </is>
      </c>
      <c r="B199" s="1" t="n">
        <v>44690</v>
      </c>
      <c r="C199" s="1" t="n">
        <v>46197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59495-2024</t>
        </is>
      </c>
      <c r="B200" s="1" t="n">
        <v>45638</v>
      </c>
      <c r="C200" s="1" t="n">
        <v>46197</v>
      </c>
      <c r="D200" t="inlineStr">
        <is>
          <t>ÖREBRO LÄN</t>
        </is>
      </c>
      <c r="E200" t="inlineStr">
        <is>
          <t>LJUSNARSBERG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62810-2021</t>
        </is>
      </c>
      <c r="B201" s="1" t="n">
        <v>44503</v>
      </c>
      <c r="C201" s="1" t="n">
        <v>46197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31162-2023</t>
        </is>
      </c>
      <c r="B202" s="1" t="n">
        <v>45103</v>
      </c>
      <c r="C202" s="1" t="n">
        <v>46197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28778-2024</t>
        </is>
      </c>
      <c r="B203" s="1" t="n">
        <v>45478</v>
      </c>
      <c r="C203" s="1" t="n">
        <v>46197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13389-2024</t>
        </is>
      </c>
      <c r="B204" s="1" t="n">
        <v>45387</v>
      </c>
      <c r="C204" s="1" t="n">
        <v>46197</v>
      </c>
      <c r="D204" t="inlineStr">
        <is>
          <t>ÖREBRO LÄN</t>
        </is>
      </c>
      <c r="E204" t="inlineStr">
        <is>
          <t>LJUSNARSBERG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6313-2025</t>
        </is>
      </c>
      <c r="B205" s="1" t="n">
        <v>45698</v>
      </c>
      <c r="C205" s="1" t="n">
        <v>46197</v>
      </c>
      <c r="D205" t="inlineStr">
        <is>
          <t>ÖREBRO LÄN</t>
        </is>
      </c>
      <c r="E205" t="inlineStr">
        <is>
          <t>LJUSNARSBERG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48780-2024</t>
        </is>
      </c>
      <c r="B206" s="1" t="n">
        <v>45593</v>
      </c>
      <c r="C206" s="1" t="n">
        <v>46197</v>
      </c>
      <c r="D206" t="inlineStr">
        <is>
          <t>ÖREBRO LÄN</t>
        </is>
      </c>
      <c r="E206" t="inlineStr">
        <is>
          <t>LJUSNARSBERG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30172-2023</t>
        </is>
      </c>
      <c r="B207" s="1" t="n">
        <v>45110</v>
      </c>
      <c r="C207" s="1" t="n">
        <v>46197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34926-2023</t>
        </is>
      </c>
      <c r="B208" s="1" t="n">
        <v>45142</v>
      </c>
      <c r="C208" s="1" t="n">
        <v>46197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4989-2023</t>
        </is>
      </c>
      <c r="B209" s="1" t="n">
        <v>44956</v>
      </c>
      <c r="C209" s="1" t="n">
        <v>46197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31763-2023</t>
        </is>
      </c>
      <c r="B210" s="1" t="n">
        <v>45106</v>
      </c>
      <c r="C210" s="1" t="n">
        <v>46197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24385-2025</t>
        </is>
      </c>
      <c r="B211" s="1" t="n">
        <v>45797</v>
      </c>
      <c r="C211" s="1" t="n">
        <v>46197</v>
      </c>
      <c r="D211" t="inlineStr">
        <is>
          <t>ÖREBRO LÄN</t>
        </is>
      </c>
      <c r="E211" t="inlineStr">
        <is>
          <t>LJUSNARSBERG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2026-06-24T00:48:23Z</dcterms:created>
  <dcterms:modified xmlns:dcterms="http://purl.org/dc/terms/" xmlns:xsi="http://www.w3.org/2001/XMLSchema-instance" xsi:type="dcterms:W3CDTF">2026-06-24T00:48:23Z</dcterms:modified>
</cp:coreProperties>
</file>