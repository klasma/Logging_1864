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46304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46304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46304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46304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46304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46304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46304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46304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46304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46304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46304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46304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46304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46304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46304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46304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46304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33193-2024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45518</v>
      </c>
      <c r="E19" s="1" t="n">
        <v>46304</v>
      </c>
      <c r="F19" t="inlineStr">
        <is>
          <t>ÖREBRO LÄN</t>
        </is>
      </c>
      <c r="G19" t="inlineStr">
        <is>
          <t>LJUSNARSBERG</t>
        </is>
      </c>
      <c r="I19" t="n">
        <v>5.9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Dropptaggsvamp
Tjäder</t>
        </is>
      </c>
      <c r="W19">
        <f>HYPERLINK("https://klasma.github.io/Logging_1864/artfynd/A 33193-2024 artfynd.xlsx", "A 33193-2024")</f>
        <v/>
      </c>
      <c r="X19">
        <f>HYPERLINK("https://klasma.github.io/Logging_1864/kartor/A 33193-2024 karta.png", "A 33193-2024")</f>
        <v/>
      </c>
      <c r="Y19">
        <f>HYPERLINK("https://klasma.github.io/Logging_1864/kartor_geotiff/A 33193-2024 georefererad karta.tif", "A 33193-2024")</f>
        <v/>
      </c>
      <c r="AA19">
        <f>HYPERLINK("https://klasma.github.io/Logging_1864/klagomål/A 33193-2024 FSC-klagomål.docx", "A 33193-2024")</f>
        <v/>
      </c>
      <c r="AB19">
        <f>HYPERLINK("https://klasma.github.io/Logging_1864/klagomålsmail/A 33193-2024 FSC-klagomål mail.docx", "A 33193-2024")</f>
        <v/>
      </c>
      <c r="AC19">
        <f>HYPERLINK("https://klasma.github.io/Logging_1864/tillsyn/A 33193-2024 tillsynsbegäran.docx", "A 33193-2024")</f>
        <v/>
      </c>
      <c r="AD19">
        <f>HYPERLINK("https://klasma.github.io/Logging_1864/tillsynsmail/A 33193-2024 tillsynsbegäran mail.docx", "A 33193-2024")</f>
        <v/>
      </c>
      <c r="AE19">
        <f>HYPERLINK("https://klasma.github.io/Logging_1864/fåglar/A 33193-2024 prioriterade fågelarter.docx", "A 33193-2024")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46304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46304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46304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46304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45537-2024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45578</v>
      </c>
      <c r="E24" s="1" t="n">
        <v>46304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4.3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HYPERLINK("https://klasma.github.io/Logging_1864/artfynd/A 45537-2024 artfynd.xlsx", "A 45537-2024")</f>
        <v/>
      </c>
      <c r="X24">
        <f>HYPERLINK("https://klasma.github.io/Logging_1864/kartor/A 45537-2024 karta.png", "A 45537-2024")</f>
        <v/>
      </c>
      <c r="Y24">
        <f>HYPERLINK("https://klasma.github.io/Logging_1864/kartor_geotiff/A 45537-2024 georefererad karta.tif", "A 45537-2024")</f>
        <v/>
      </c>
      <c r="AA24">
        <f>HYPERLINK("https://klasma.github.io/Logging_1864/klagomål/A 45537-2024 FSC-klagomål.docx", "A 45537-2024")</f>
        <v/>
      </c>
      <c r="AB24">
        <f>HYPERLINK("https://klasma.github.io/Logging_1864/klagomålsmail/A 45537-2024 FSC-klagomål mail.docx", "A 45537-2024")</f>
        <v/>
      </c>
      <c r="AC24">
        <f>HYPERLINK("https://klasma.github.io/Logging_1864/tillsyn/A 45537-2024 tillsynsbegäran.docx", "A 45537-2024")</f>
        <v/>
      </c>
      <c r="AD24">
        <f>HYPERLINK("https://klasma.github.io/Logging_1864/tillsynsmail/A 45537-2024 tillsynsbegäran mail.docx", "A 45537-2024")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46304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46304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46304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46304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46304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46304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46304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46304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46304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46304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46304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46304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46304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46304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46304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46304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46304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46304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25574-2023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45089</v>
      </c>
      <c r="E43" s="1" t="n">
        <v>46304</v>
      </c>
      <c r="F43" t="inlineStr">
        <is>
          <t>ÖREBRO LÄN</t>
        </is>
      </c>
      <c r="G43" t="inlineStr">
        <is>
          <t>LJUSNARSBERG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46304</v>
      </c>
      <c r="F44" t="inlineStr">
        <is>
          <t>ÖREBRO LÄN</t>
        </is>
      </c>
      <c r="G44" t="inlineStr">
        <is>
          <t>LJUSNARSBERG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61794-2024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46304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61580-2023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45265</v>
      </c>
      <c r="E46" s="1" t="n">
        <v>46304</v>
      </c>
      <c r="F46" t="inlineStr">
        <is>
          <t>ÖREBRO LÄN</t>
        </is>
      </c>
      <c r="G46" t="inlineStr">
        <is>
          <t>LJUSNARSBERG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44503</v>
      </c>
      <c r="E47" s="1" t="n">
        <v>46304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5.7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46304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46304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46304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46304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44999</v>
      </c>
      <c r="E52" s="1" t="n">
        <v>46304</v>
      </c>
      <c r="F52" t="inlineStr">
        <is>
          <t>ÖREBRO LÄN</t>
        </is>
      </c>
      <c r="G52" t="inlineStr">
        <is>
          <t>LJUSNARSBERG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15114-2024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45399</v>
      </c>
      <c r="E53" s="1" t="n">
        <v>46304</v>
      </c>
      <c r="F53" t="inlineStr">
        <is>
          <t>ÖREBRO LÄN</t>
        </is>
      </c>
      <c r="G53" t="inlineStr">
        <is>
          <t>LJUSNARSBERG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46304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46304</v>
      </c>
      <c r="F55" t="inlineStr">
        <is>
          <t>ÖREBRO LÄN</t>
        </is>
      </c>
      <c r="G55" t="inlineStr">
        <is>
          <t>LJUSNARSBERG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46304</v>
      </c>
      <c r="F56" t="inlineStr">
        <is>
          <t>ÖREBRO LÄN</t>
        </is>
      </c>
      <c r="G56" t="inlineStr">
        <is>
          <t>LJUSNARSBERG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33974-2023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45124</v>
      </c>
      <c r="E57" s="1" t="n">
        <v>46304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46304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44780-2024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46304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25671-2024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45463</v>
      </c>
      <c r="E60" s="1" t="n">
        <v>46304</v>
      </c>
      <c r="F60" t="inlineStr">
        <is>
          <t>ÖREBRO LÄN</t>
        </is>
      </c>
      <c r="G60" t="inlineStr">
        <is>
          <t>LJUSNARSBERG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46304</v>
      </c>
      <c r="F61" t="inlineStr">
        <is>
          <t>ÖREBRO LÄN</t>
        </is>
      </c>
      <c r="G61" t="inlineStr">
        <is>
          <t>LJUSNARSBERG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22887-2024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45448</v>
      </c>
      <c r="E62" s="1" t="n">
        <v>46304</v>
      </c>
      <c r="F62" t="inlineStr">
        <is>
          <t>ÖREBRO LÄN</t>
        </is>
      </c>
      <c r="G62" t="inlineStr">
        <is>
          <t>LJUSNARSBERG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45575</v>
      </c>
      <c r="E63" s="1" t="n">
        <v>46304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45608</v>
      </c>
      <c r="E64" s="1" t="n">
        <v>46304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45841</v>
      </c>
      <c r="E65" s="1" t="n">
        <v>46304</v>
      </c>
      <c r="F65" t="inlineStr">
        <is>
          <t>ÖREBRO LÄN</t>
        </is>
      </c>
      <c r="G65" t="inlineStr">
        <is>
          <t>LJUSNARSBERG</t>
        </is>
      </c>
      <c r="H65" t="inlineStr">
        <is>
          <t>Kyrkan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35151-2023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45145</v>
      </c>
      <c r="E66" s="1" t="n">
        <v>46304</v>
      </c>
      <c r="F66" t="inlineStr">
        <is>
          <t>ÖREBRO LÄN</t>
        </is>
      </c>
      <c r="G66" t="inlineStr">
        <is>
          <t>LJUSNARSBERG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46304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46304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45659</v>
      </c>
      <c r="E69" s="1" t="n">
        <v>46304</v>
      </c>
      <c r="F69" t="inlineStr">
        <is>
          <t>ÖREBRO LÄN</t>
        </is>
      </c>
      <c r="G69" t="inlineStr">
        <is>
          <t>LJUSNARSBERG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46304</v>
      </c>
      <c r="F70" t="inlineStr">
        <is>
          <t>ÖREBRO LÄN</t>
        </is>
      </c>
      <c r="G70" t="inlineStr">
        <is>
          <t>LJUSNARSBERG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40477-2025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45895</v>
      </c>
      <c r="E71" s="1" t="n">
        <v>46304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40477-2025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45895</v>
      </c>
      <c r="E72" s="1" t="n">
        <v>46304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46304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40852-2025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45897</v>
      </c>
      <c r="E74" s="1" t="n">
        <v>46304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46304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46304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46304</v>
      </c>
      <c r="F77" t="inlineStr">
        <is>
          <t>ÖREBRO LÄN</t>
        </is>
      </c>
      <c r="G77" t="inlineStr">
        <is>
          <t>LJUSNARSBERG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46304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45638</v>
      </c>
      <c r="E79" s="1" t="n">
        <v>46304</v>
      </c>
      <c r="F79" t="inlineStr">
        <is>
          <t>ÖREBRO LÄN</t>
        </is>
      </c>
      <c r="G79" t="inlineStr">
        <is>
          <t>LJUSNARSBERG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44482</v>
      </c>
      <c r="E80" s="1" t="n">
        <v>46304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45155</v>
      </c>
      <c r="E81" s="1" t="n">
        <v>46304</v>
      </c>
      <c r="F81" t="inlineStr">
        <is>
          <t>ÖREBRO LÄN</t>
        </is>
      </c>
      <c r="G81" t="inlineStr">
        <is>
          <t>LJUSNARSBERG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46304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46304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18.1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42287-2025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45903</v>
      </c>
      <c r="E84" s="1" t="n">
        <v>46304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46304</v>
      </c>
      <c r="F85" t="inlineStr">
        <is>
          <t>ÖREBRO LÄN</t>
        </is>
      </c>
      <c r="G85" t="inlineStr">
        <is>
          <t>LJUSNARSBERG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45909</v>
      </c>
      <c r="E86" s="1" t="n">
        <v>46304</v>
      </c>
      <c r="F86" t="inlineStr">
        <is>
          <t>ÖREBRO LÄN</t>
        </is>
      </c>
      <c r="G86" t="inlineStr">
        <is>
          <t>LJUSNARSBERG</t>
        </is>
      </c>
      <c r="I86" t="n">
        <v>17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46304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45925</v>
      </c>
      <c r="E88" s="1" t="n">
        <v>46304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59630-2024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46304</v>
      </c>
      <c r="F89" t="inlineStr">
        <is>
          <t>ÖREBRO LÄN</t>
        </is>
      </c>
      <c r="G89" t="inlineStr">
        <is>
          <t>LJUSNARSBERG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31357-2025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46304</v>
      </c>
      <c r="F90" t="inlineStr">
        <is>
          <t>ÖREBRO LÄN</t>
        </is>
      </c>
      <c r="G90" t="inlineStr">
        <is>
          <t>LJUSNARSBERG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41610-2025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46304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45085</v>
      </c>
      <c r="E92" s="1" t="n">
        <v>46304</v>
      </c>
      <c r="F92" t="inlineStr">
        <is>
          <t>ÖREBRO LÄN</t>
        </is>
      </c>
      <c r="G92" t="inlineStr">
        <is>
          <t>LJUSNARSBERG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46304</v>
      </c>
      <c r="F93" t="inlineStr">
        <is>
          <t>ÖREBRO LÄN</t>
        </is>
      </c>
      <c r="G93" t="inlineStr">
        <is>
          <t>LJUSNARSBERG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46304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46304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46304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46304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19368-2025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45769</v>
      </c>
      <c r="E98" s="1" t="n">
        <v>46304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59497-2024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45638</v>
      </c>
      <c r="E99" s="1" t="n">
        <v>46304</v>
      </c>
      <c r="F99" t="inlineStr">
        <is>
          <t>ÖREBRO LÄN</t>
        </is>
      </c>
      <c r="G99" t="inlineStr">
        <is>
          <t>LJUSNARSBERG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50865-2025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45946</v>
      </c>
      <c r="E100" s="1" t="n">
        <v>46304</v>
      </c>
      <c r="F100" t="inlineStr">
        <is>
          <t>ÖREBRO LÄN</t>
        </is>
      </c>
      <c r="G100" t="inlineStr">
        <is>
          <t>LJUSNARSBERG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33979-2023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45124</v>
      </c>
      <c r="E101" s="1" t="n">
        <v>46304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46304</v>
      </c>
      <c r="F102" t="inlineStr">
        <is>
          <t>ÖREBRO LÄN</t>
        </is>
      </c>
      <c r="G102" t="inlineStr">
        <is>
          <t>LJUSNARSBERG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26617-2022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44739</v>
      </c>
      <c r="E103" s="1" t="n">
        <v>46304</v>
      </c>
      <c r="F103" t="inlineStr">
        <is>
          <t>ÖREBRO LÄN</t>
        </is>
      </c>
      <c r="G103" t="inlineStr">
        <is>
          <t>LJUSNARSBERG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59495-2024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45638</v>
      </c>
      <c r="E104" s="1" t="n">
        <v>46304</v>
      </c>
      <c r="F104" t="inlineStr">
        <is>
          <t>ÖREBRO LÄN</t>
        </is>
      </c>
      <c r="G104" t="inlineStr">
        <is>
          <t>LJUSNARSBERG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19738-2026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46304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46146-2022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44847</v>
      </c>
      <c r="E106" s="1" t="n">
        <v>46304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46304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46304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53789-2022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44880</v>
      </c>
      <c r="E109" s="1" t="n">
        <v>46304</v>
      </c>
      <c r="F109" t="inlineStr">
        <is>
          <t>ÖREBRO LÄN</t>
        </is>
      </c>
      <c r="G109" t="inlineStr">
        <is>
          <t>LJUSNARSBERG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44565</v>
      </c>
      <c r="E110" s="1" t="n">
        <v>46304</v>
      </c>
      <c r="F110" t="inlineStr">
        <is>
          <t>ÖREBRO LÄN</t>
        </is>
      </c>
      <c r="G110" t="inlineStr">
        <is>
          <t>LJUSNARSBERG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43638-2025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46304</v>
      </c>
      <c r="F111" t="inlineStr">
        <is>
          <t>ÖREBRO LÄN</t>
        </is>
      </c>
      <c r="G111" t="inlineStr">
        <is>
          <t>LJUSNARSBERG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19937-2026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46136</v>
      </c>
      <c r="E112" s="1" t="n">
        <v>46304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46304</v>
      </c>
      <c r="F113" t="inlineStr">
        <is>
          <t>ÖREBRO LÄN</t>
        </is>
      </c>
      <c r="G113" t="inlineStr">
        <is>
          <t>LJUSNARSBERG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46304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36108-2024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45533</v>
      </c>
      <c r="E115" s="1" t="n">
        <v>46304</v>
      </c>
      <c r="F115" t="inlineStr">
        <is>
          <t>ÖREBRO LÄN</t>
        </is>
      </c>
      <c r="G115" t="inlineStr">
        <is>
          <t>LJUSNARSBERG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46304</v>
      </c>
      <c r="F116" t="inlineStr">
        <is>
          <t>ÖREBRO LÄN</t>
        </is>
      </c>
      <c r="G116" t="inlineStr">
        <is>
          <t>LJUSNARSBERG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44564</v>
      </c>
      <c r="E117" s="1" t="n">
        <v>46304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46304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46304</v>
      </c>
      <c r="F119" t="inlineStr">
        <is>
          <t>ÖREBRO LÄN</t>
        </is>
      </c>
      <c r="G119" t="inlineStr">
        <is>
          <t>LJUSNARSBERG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46304</v>
      </c>
      <c r="F120" t="inlineStr">
        <is>
          <t>ÖREBRO LÄN</t>
        </is>
      </c>
      <c r="G120" t="inlineStr">
        <is>
          <t>LJUSNARSBERG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44790</v>
      </c>
      <c r="E121" s="1" t="n">
        <v>46304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46304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2667-2026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46037</v>
      </c>
      <c r="E123" s="1" t="n">
        <v>46304</v>
      </c>
      <c r="F123" t="inlineStr">
        <is>
          <t>ÖREBRO LÄN</t>
        </is>
      </c>
      <c r="G123" t="inlineStr">
        <is>
          <t>LJUSNARSBERG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45217</v>
      </c>
      <c r="E124" s="1" t="n">
        <v>46304</v>
      </c>
      <c r="F124" t="inlineStr">
        <is>
          <t>ÖREBRO LÄN</t>
        </is>
      </c>
      <c r="G124" t="inlineStr">
        <is>
          <t>LJUSNARSBERG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45574</v>
      </c>
      <c r="E125" s="1" t="n">
        <v>46304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62667-2022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46304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46304</v>
      </c>
      <c r="F127" t="inlineStr">
        <is>
          <t>ÖREBRO LÄN</t>
        </is>
      </c>
      <c r="G127" t="inlineStr">
        <is>
          <t>LJUSNARSBERG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13803-2024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46304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45394</v>
      </c>
      <c r="E129" s="1" t="n">
        <v>46304</v>
      </c>
      <c r="F129" t="inlineStr">
        <is>
          <t>ÖREBRO LÄN</t>
        </is>
      </c>
      <c r="G129" t="inlineStr">
        <is>
          <t>LJUSNARSBERG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21202-2026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46304</v>
      </c>
      <c r="F130" t="inlineStr">
        <is>
          <t>ÖREBRO LÄN</t>
        </is>
      </c>
      <c r="G130" t="inlineStr">
        <is>
          <t>LJUSNARSBERG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21186-2026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46304</v>
      </c>
      <c r="F131" t="inlineStr">
        <is>
          <t>ÖREBRO LÄN</t>
        </is>
      </c>
      <c r="G131" t="inlineStr">
        <is>
          <t>LJUSNARSBERG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46304</v>
      </c>
      <c r="F132" t="inlineStr">
        <is>
          <t>ÖREBRO LÄN</t>
        </is>
      </c>
      <c r="G132" t="inlineStr">
        <is>
          <t>LJUSNARSBERG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46304</v>
      </c>
      <c r="F133" t="inlineStr">
        <is>
          <t>ÖREBRO LÄN</t>
        </is>
      </c>
      <c r="G133" t="inlineStr">
        <is>
          <t>LJUSNARSBERG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46154</v>
      </c>
      <c r="E134" s="1" t="n">
        <v>46304</v>
      </c>
      <c r="F134" t="inlineStr">
        <is>
          <t>ÖREBRO LÄN</t>
        </is>
      </c>
      <c r="G134" t="inlineStr">
        <is>
          <t>LJUSNARSBERG</t>
        </is>
      </c>
      <c r="I134" t="n">
        <v>14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32880-2025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45839</v>
      </c>
      <c r="E135" s="1" t="n">
        <v>46304</v>
      </c>
      <c r="F135" t="inlineStr">
        <is>
          <t>ÖREBRO LÄN</t>
        </is>
      </c>
      <c r="G135" t="inlineStr">
        <is>
          <t>LJUSNARSBERG</t>
        </is>
      </c>
      <c r="H135" t="inlineStr">
        <is>
          <t>Kommuner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53595-2024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46304</v>
      </c>
      <c r="F136" t="inlineStr">
        <is>
          <t>ÖREBRO LÄN</t>
        </is>
      </c>
      <c r="G136" t="inlineStr">
        <is>
          <t>LJUSNARSBERG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18938-2022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46304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46304</v>
      </c>
      <c r="F138" t="inlineStr">
        <is>
          <t>ÖREBRO LÄN</t>
        </is>
      </c>
      <c r="G138" t="inlineStr">
        <is>
          <t>LJUSNARSBERG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45578</v>
      </c>
      <c r="E139" s="1" t="n">
        <v>46304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45539-2024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45578</v>
      </c>
      <c r="E140" s="1" t="n">
        <v>46304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44874</v>
      </c>
      <c r="E141" s="1" t="n">
        <v>46304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45124</v>
      </c>
      <c r="E142" s="1" t="n">
        <v>46304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46163</v>
      </c>
      <c r="E143" s="1" t="n">
        <v>46304</v>
      </c>
      <c r="F143" t="inlineStr">
        <is>
          <t>ÖREBRO LÄN</t>
        </is>
      </c>
      <c r="G143" t="inlineStr">
        <is>
          <t>LJUSNARSBERG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46304</v>
      </c>
      <c r="F144" t="inlineStr">
        <is>
          <t>ÖREBRO LÄN</t>
        </is>
      </c>
      <c r="G144" t="inlineStr">
        <is>
          <t>LJUSNARSBERG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46304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24350-2026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46304</v>
      </c>
      <c r="F146" t="inlineStr">
        <is>
          <t>ÖREBRO LÄN</t>
        </is>
      </c>
      <c r="G146" t="inlineStr">
        <is>
          <t>LJUSNARSBERG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46304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26847-2026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46185</v>
      </c>
      <c r="E148" s="1" t="n">
        <v>46304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18932-2022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44690</v>
      </c>
      <c r="E149" s="1" t="n">
        <v>46304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46304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44916</v>
      </c>
      <c r="E151" s="1" t="n">
        <v>46304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45347</v>
      </c>
      <c r="E152" s="1" t="n">
        <v>46304</v>
      </c>
      <c r="F152" t="inlineStr">
        <is>
          <t>ÖREBRO LÄN</t>
        </is>
      </c>
      <c r="G152" t="inlineStr">
        <is>
          <t>LJUSNARSBERG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46304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46304</v>
      </c>
      <c r="F154" t="inlineStr">
        <is>
          <t>ÖREBRO LÄN</t>
        </is>
      </c>
      <c r="G154" t="inlineStr">
        <is>
          <t>LJUSNARSBERG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46304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44939</v>
      </c>
      <c r="E156" s="1" t="n">
        <v>46304</v>
      </c>
      <c r="F156" t="inlineStr">
        <is>
          <t>ÖREBRO LÄN</t>
        </is>
      </c>
      <c r="G156" t="inlineStr">
        <is>
          <t>LJUSNARSBERG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46304</v>
      </c>
      <c r="F157" t="inlineStr">
        <is>
          <t>ÖREBRO LÄN</t>
        </is>
      </c>
      <c r="G157" t="inlineStr">
        <is>
          <t>LJUSNARSBERG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46304</v>
      </c>
      <c r="F158" t="inlineStr">
        <is>
          <t>ÖREBRO LÄN</t>
        </is>
      </c>
      <c r="G158" t="inlineStr">
        <is>
          <t>LJUSNARSBERG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42761-2023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46304</v>
      </c>
      <c r="F159" t="inlineStr">
        <is>
          <t>ÖREBRO LÄN</t>
        </is>
      </c>
      <c r="G159" t="inlineStr">
        <is>
          <t>LJUSNARSBERG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45103</v>
      </c>
      <c r="E160" s="1" t="n">
        <v>46304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46167</v>
      </c>
      <c r="E161" s="1" t="n">
        <v>46304</v>
      </c>
      <c r="F161" t="inlineStr">
        <is>
          <t>ÖREBRO LÄN</t>
        </is>
      </c>
      <c r="G161" t="inlineStr">
        <is>
          <t>LJUSNARSBERG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46304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36771-2026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46272</v>
      </c>
      <c r="E163" s="1" t="n">
        <v>46304</v>
      </c>
      <c r="F163" t="inlineStr">
        <is>
          <t>ÖREBRO LÄN</t>
        </is>
      </c>
      <c r="G163" t="inlineStr">
        <is>
          <t>LJUSNARSBERG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45764</v>
      </c>
      <c r="E164" s="1" t="n">
        <v>46304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46304</v>
      </c>
      <c r="F165" t="inlineStr">
        <is>
          <t>ÖREBRO LÄN</t>
        </is>
      </c>
      <c r="G165" t="inlineStr">
        <is>
          <t>LJUSNARSBERG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46304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44694</v>
      </c>
      <c r="E167" s="1" t="n">
        <v>46304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46279</v>
      </c>
      <c r="E168" s="1" t="n">
        <v>46304</v>
      </c>
      <c r="F168" t="inlineStr">
        <is>
          <t>ÖREBRO LÄN</t>
        </is>
      </c>
      <c r="G168" t="inlineStr">
        <is>
          <t>LJUSNARSBERG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46801-2024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46304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46281</v>
      </c>
      <c r="E170" s="1" t="n">
        <v>46304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46304</v>
      </c>
      <c r="F171" t="inlineStr">
        <is>
          <t>ÖREBRO LÄN</t>
        </is>
      </c>
      <c r="G171" t="inlineStr">
        <is>
          <t>LJUSNARSBERG</t>
        </is>
      </c>
      <c r="H171" t="inlineStr">
        <is>
          <t>Bergvik skog väst AB</t>
        </is>
      </c>
      <c r="I171" t="n">
        <v>10.4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46282</v>
      </c>
      <c r="E172" s="1" t="n">
        <v>46304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46304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45593</v>
      </c>
      <c r="E174" s="1" t="n">
        <v>46304</v>
      </c>
      <c r="F174" t="inlineStr">
        <is>
          <t>ÖREBRO LÄN</t>
        </is>
      </c>
      <c r="G174" t="inlineStr">
        <is>
          <t>LJUSNARSBERG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45698</v>
      </c>
      <c r="E175" s="1" t="n">
        <v>46304</v>
      </c>
      <c r="F175" t="inlineStr">
        <is>
          <t>ÖREBRO LÄN</t>
        </is>
      </c>
      <c r="G175" t="inlineStr">
        <is>
          <t>LJUSNARSBERG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46304</v>
      </c>
      <c r="F176" t="inlineStr">
        <is>
          <t>ÖREBRO LÄN</t>
        </is>
      </c>
      <c r="G176" t="inlineStr">
        <is>
          <t>LJUSNARSBERG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46304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46304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46304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45106</v>
      </c>
      <c r="E180" s="1" t="n">
        <v>46304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11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46246</v>
      </c>
      <c r="E181" s="1" t="n">
        <v>46304</v>
      </c>
      <c r="F181" t="inlineStr">
        <is>
          <t>ÖREBRO LÄN</t>
        </is>
      </c>
      <c r="G181" t="inlineStr">
        <is>
          <t>LJUSNARSBERG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46304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20673-2025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45776</v>
      </c>
      <c r="E183" s="1" t="n">
        <v>46304</v>
      </c>
      <c r="F183" t="inlineStr">
        <is>
          <t>ÖREBRO LÄN</t>
        </is>
      </c>
      <c r="G183" t="inlineStr">
        <is>
          <t>LJUSNARSBERG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33488-2026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46247</v>
      </c>
      <c r="E184" s="1" t="n">
        <v>46304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46304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46304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40443-2026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46294</v>
      </c>
      <c r="E187" s="1" t="n">
        <v>46304</v>
      </c>
      <c r="F187" t="inlineStr">
        <is>
          <t>ÖREBRO LÄN</t>
        </is>
      </c>
      <c r="G187" t="inlineStr">
        <is>
          <t>LJUSNARSBERG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45827</v>
      </c>
      <c r="E188" s="1" t="n">
        <v>46304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46304</v>
      </c>
      <c r="F189" t="inlineStr">
        <is>
          <t>ÖREBRO LÄN</t>
        </is>
      </c>
      <c r="G189" t="inlineStr">
        <is>
          <t>LJUSNARSBERG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46304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46304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46300</v>
      </c>
      <c r="E192" s="1" t="n">
        <v>46304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41489-2026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46300</v>
      </c>
      <c r="E193" s="1" t="n">
        <v>46304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41490-2026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46300</v>
      </c>
      <c r="E194" s="1" t="n">
        <v>46304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46301</v>
      </c>
      <c r="E195" s="1" t="n">
        <v>46304</v>
      </c>
      <c r="F195" t="inlineStr">
        <is>
          <t>ÖREBRO LÄN</t>
        </is>
      </c>
      <c r="G195" t="inlineStr">
        <is>
          <t>LJUSNARSBERG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46304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41471-2026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46304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46301</v>
      </c>
      <c r="E198" s="1" t="n">
        <v>46304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41491-2026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46304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880-2024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45376</v>
      </c>
      <c r="E200" s="1" t="n">
        <v>46304</v>
      </c>
      <c r="F200" t="inlineStr">
        <is>
          <t>ÖREBRO LÄN</t>
        </is>
      </c>
      <c r="G200" t="inlineStr">
        <is>
          <t>LJUSNARSBERG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46304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46304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3528-2023</t>
        </is>
      </c>
      <c r="B203" t="inlineStr">
        <is>
          <t>samrådsanmälan</t>
        </is>
      </c>
      <c r="C203" t="inlineStr">
        <is>
          <t>Annan skogsbruksåtgärd</t>
        </is>
      </c>
      <c r="D203" s="1" t="n">
        <v>45205</v>
      </c>
      <c r="E203" s="1" t="n">
        <v>46304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410-2022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44585</v>
      </c>
      <c r="E204" s="1" t="n">
        <v>46304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36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4521-2023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45275</v>
      </c>
      <c r="E205" s="1" t="n">
        <v>46304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1099-2022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44615</v>
      </c>
      <c r="E206" s="1" t="n">
        <v>46304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147.4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2836-2023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45167</v>
      </c>
      <c r="E207" s="1" t="n">
        <v>46304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707-2025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45720</v>
      </c>
      <c r="E208" s="1" t="n">
        <v>46304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162.6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1972-2025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45832</v>
      </c>
      <c r="E209" s="1" t="n">
        <v>46304</v>
      </c>
      <c r="F209" t="inlineStr">
        <is>
          <t>ÖREBRO LÄN</t>
        </is>
      </c>
      <c r="G209" t="inlineStr">
        <is>
          <t>LJUSNARSBERG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3578-2025</t>
        </is>
      </c>
      <c r="B210" t="inlineStr">
        <is>
          <t>samrådsanmälan</t>
        </is>
      </c>
      <c r="C210" t="inlineStr">
        <is>
          <t>Skogsgödsling</t>
        </is>
      </c>
      <c r="D210" s="1" t="n">
        <v>46010</v>
      </c>
      <c r="E210" s="1" t="n">
        <v>46304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603-2026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46085</v>
      </c>
      <c r="E211" s="1" t="n">
        <v>46304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125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1743-2026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46185</v>
      </c>
      <c r="E212" s="1" t="n">
        <v>46304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16.8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1624-2026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46174</v>
      </c>
      <c r="E213" s="1" t="n">
        <v>46304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2322-2026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46269</v>
      </c>
      <c r="E214" s="1" t="n">
        <v>46304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67.09999999999999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2026-10-09T02:02:37Z</dcterms:created>
  <dcterms:modified xmlns:dcterms="http://purl.org/dc/terms/" xmlns:xsi="http://www.w3.org/2001/XMLSchema-instance" xsi:type="dcterms:W3CDTF">2026-10-09T02:02:37Z</dcterms:modified>
</cp:coreProperties>
</file>