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46263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46263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46263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46263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46263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46263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46263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46263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46263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46263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57978-2025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46263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1.5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Tvåblad
Brudsporre
Grönvit nattviol
Nattviol</t>
        </is>
      </c>
      <c r="W12">
        <f>HYPERLINK("https://klasma.github.io/Logging_1864/artfynd/A 57978-2025 artfynd.xlsx", "A 57978-2025")</f>
        <v/>
      </c>
      <c r="X12">
        <f>HYPERLINK("https://klasma.github.io/Logging_1864/kartor/A 57978-2025 karta.png", "A 57978-2025")</f>
        <v/>
      </c>
      <c r="Y12">
        <f>HYPERLINK("https://klasma.github.io/Logging_1864/kartor_geotiff/A 57978-2025 georefererad karta.tif", "A 57978-2025")</f>
        <v/>
      </c>
      <c r="AA12">
        <f>HYPERLINK("https://klasma.github.io/Logging_1864/klagomål/A 57978-2025 FSC-klagomål.docx", "A 57978-2025")</f>
        <v/>
      </c>
      <c r="AB12">
        <f>HYPERLINK("https://klasma.github.io/Logging_1864/klagomålsmail/A 57978-2025 FSC-klagomål mail.docx", "A 57978-2025")</f>
        <v/>
      </c>
      <c r="AC12">
        <f>HYPERLINK("https://klasma.github.io/Logging_1864/tillsyn/A 57978-2025 tillsynsbegäran.docx", "A 57978-2025")</f>
        <v/>
      </c>
      <c r="AD12">
        <f>HYPERLINK("https://klasma.github.io/Logging_1864/tillsynsmail/A 57978-2025 tillsynsbegäran mail.docx", "A 57978-2025")</f>
        <v/>
      </c>
    </row>
    <row r="13" ht="15" customHeight="1">
      <c r="A13" t="inlineStr">
        <is>
          <t>A 24299-2026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46167</v>
      </c>
      <c r="E13" s="1" t="n">
        <v>46263</v>
      </c>
      <c r="F13" t="inlineStr">
        <is>
          <t>ÖREBRO LÄN</t>
        </is>
      </c>
      <c r="G13" t="inlineStr">
        <is>
          <t>LJUSNARSBERG</t>
        </is>
      </c>
      <c r="I13" t="n">
        <v>10.8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Tornseglare
Talltita
Spillkråka
Tofsmes</t>
        </is>
      </c>
      <c r="W13">
        <f>HYPERLINK("https://klasma.github.io/Logging_1864/artfynd/A 24299-2026 artfynd.xlsx", "A 24299-2026")</f>
        <v/>
      </c>
      <c r="X13">
        <f>HYPERLINK("https://klasma.github.io/Logging_1864/kartor/A 24299-2026 karta.png", "A 24299-2026")</f>
        <v/>
      </c>
      <c r="Y13">
        <f>HYPERLINK("https://klasma.github.io/Logging_1864/kartor_geotiff/A 24299-2026 georefererad karta.tif", "A 24299-2026")</f>
        <v/>
      </c>
      <c r="AA13">
        <f>HYPERLINK("https://klasma.github.io/Logging_1864/klagomål/A 24299-2026 FSC-klagomål.docx", "A 24299-2026")</f>
        <v/>
      </c>
      <c r="AB13">
        <f>HYPERLINK("https://klasma.github.io/Logging_1864/klagomålsmail/A 24299-2026 FSC-klagomål mail.docx", "A 24299-2026")</f>
        <v/>
      </c>
      <c r="AC13">
        <f>HYPERLINK("https://klasma.github.io/Logging_1864/tillsyn/A 24299-2026 tillsynsbegäran.docx", "A 24299-2026")</f>
        <v/>
      </c>
      <c r="AD13">
        <f>HYPERLINK("https://klasma.github.io/Logging_1864/tillsynsmail/A 24299-2026 tillsynsbegäran mail.docx", "A 24299-2026")</f>
        <v/>
      </c>
      <c r="AE13">
        <f>HYPERLINK("https://klasma.github.io/Logging_1864/fåglar/A 24299-2026 prioriterade fågelarter.docx", "A 24299-2026")</f>
        <v/>
      </c>
    </row>
    <row r="14" ht="15" customHeight="1">
      <c r="A14" t="inlineStr">
        <is>
          <t>A 49300-2025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46263</v>
      </c>
      <c r="F14" t="inlineStr">
        <is>
          <t>ÖREBRO LÄN</t>
        </is>
      </c>
      <c r="G14" t="inlineStr">
        <is>
          <t>LJUSNARSBERG</t>
        </is>
      </c>
      <c r="H14" t="inlineStr">
        <is>
          <t>Bergvik skog väst AB</t>
        </is>
      </c>
      <c r="I14" t="n">
        <v>7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Rynkskinn
Ullticka
Vedticka</t>
        </is>
      </c>
      <c r="W14">
        <f>HYPERLINK("https://klasma.github.io/Logging_1864/artfynd/A 49300-2025 artfynd.xlsx", "A 49300-2025")</f>
        <v/>
      </c>
      <c r="X14">
        <f>HYPERLINK("https://klasma.github.io/Logging_1864/kartor/A 49300-2025 karta.png", "A 49300-2025")</f>
        <v/>
      </c>
      <c r="Y14">
        <f>HYPERLINK("https://klasma.github.io/Logging_1864/kartor_geotiff/A 49300-2025 georefererad karta.tif", "A 49300-2025")</f>
        <v/>
      </c>
      <c r="AA14">
        <f>HYPERLINK("https://klasma.github.io/Logging_1864/klagomål/A 49300-2025 FSC-klagomål.docx", "A 49300-2025")</f>
        <v/>
      </c>
      <c r="AB14">
        <f>HYPERLINK("https://klasma.github.io/Logging_1864/klagomålsmail/A 49300-2025 FSC-klagomål mail.docx", "A 49300-2025")</f>
        <v/>
      </c>
      <c r="AC14">
        <f>HYPERLINK("https://klasma.github.io/Logging_1864/tillsyn/A 49300-2025 tillsynsbegäran.docx", "A 49300-2025")</f>
        <v/>
      </c>
      <c r="AD14">
        <f>HYPERLINK("https://klasma.github.io/Logging_1864/tillsynsmail/A 49300-2025 tillsynsbegäran mail.docx", "A 49300-2025")</f>
        <v/>
      </c>
    </row>
    <row r="15" ht="15" customHeight="1">
      <c r="A15" t="inlineStr">
        <is>
          <t>A 32309-2022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44781</v>
      </c>
      <c r="E15" s="1" t="n">
        <v>46263</v>
      </c>
      <c r="F15" t="inlineStr">
        <is>
          <t>ÖREBRO LÄN</t>
        </is>
      </c>
      <c r="G15" t="inlineStr">
        <is>
          <t>LJUSNARSBERG</t>
        </is>
      </c>
      <c r="I15" t="n">
        <v>3.4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11</v>
      </c>
      <c r="U15" t="n">
        <v>11</v>
      </c>
      <c r="V15" s="2" t="inlineStr">
        <is>
          <t>Tretåig hackspett
Tjäder</t>
        </is>
      </c>
      <c r="W15">
        <f>HYPERLINK("https://klasma.github.io/Logging_1864/artfynd/A 32309-2022 artfynd.xlsx", "A 32309-2022")</f>
        <v/>
      </c>
      <c r="X15">
        <f>HYPERLINK("https://klasma.github.io/Logging_1864/kartor/A 32309-2022 karta.png", "A 32309-2022")</f>
        <v/>
      </c>
      <c r="Y15">
        <f>HYPERLINK("https://klasma.github.io/Logging_1864/kartor_geotiff/A 32309-2022 georefererad karta.tif", "A 32309-2022")</f>
        <v/>
      </c>
      <c r="AA15">
        <f>HYPERLINK("https://klasma.github.io/Logging_1864/klagomål/A 32309-2022 FSC-klagomål.docx", "A 32309-2022")</f>
        <v/>
      </c>
      <c r="AB15">
        <f>HYPERLINK("https://klasma.github.io/Logging_1864/klagomålsmail/A 32309-2022 FSC-klagomål mail.docx", "A 32309-2022")</f>
        <v/>
      </c>
      <c r="AC15">
        <f>HYPERLINK("https://klasma.github.io/Logging_1864/tillsyn/A 32309-2022 tillsynsbegäran.docx", "A 32309-2022")</f>
        <v/>
      </c>
      <c r="AD15">
        <f>HYPERLINK("https://klasma.github.io/Logging_1864/tillsynsmail/A 32309-2022 tillsynsbegäran mail.docx", "A 32309-2022")</f>
        <v/>
      </c>
      <c r="AE15">
        <f>HYPERLINK("https://klasma.github.io/Logging_1864/fåglar/A 32309-2022 prioriterade fågelarter.docx", "A 32309-2022")</f>
        <v/>
      </c>
    </row>
    <row r="16" ht="15" customHeight="1">
      <c r="A16" t="inlineStr">
        <is>
          <t>A 40854-2025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45897</v>
      </c>
      <c r="E16" s="1" t="n">
        <v>46263</v>
      </c>
      <c r="F16" t="inlineStr">
        <is>
          <t>ÖREBRO LÄN</t>
        </is>
      </c>
      <c r="G16" t="inlineStr">
        <is>
          <t>LJUSNARSBERG</t>
        </is>
      </c>
      <c r="H16" t="inlineStr">
        <is>
          <t>Bergvik skog väst AB</t>
        </is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Tvåblad
Nattviol</t>
        </is>
      </c>
      <c r="W16">
        <f>HYPERLINK("https://klasma.github.io/Logging_1864/artfynd/A 40854-2025 artfynd.xlsx", "A 40854-2025")</f>
        <v/>
      </c>
      <c r="X16">
        <f>HYPERLINK("https://klasma.github.io/Logging_1864/kartor/A 40854-2025 karta.png", "A 40854-2025")</f>
        <v/>
      </c>
      <c r="Y16">
        <f>HYPERLINK("https://klasma.github.io/Logging_1864/kartor_geotiff/A 40854-2025 georefererad karta.tif", "A 40854-2025")</f>
        <v/>
      </c>
      <c r="AA16">
        <f>HYPERLINK("https://klasma.github.io/Logging_1864/klagomål/A 40854-2025 FSC-klagomål.docx", "A 40854-2025")</f>
        <v/>
      </c>
      <c r="AB16">
        <f>HYPERLINK("https://klasma.github.io/Logging_1864/klagomålsmail/A 40854-2025 FSC-klagomål mail.docx", "A 40854-2025")</f>
        <v/>
      </c>
      <c r="AC16">
        <f>HYPERLINK("https://klasma.github.io/Logging_1864/tillsyn/A 40854-2025 tillsynsbegäran.docx", "A 40854-2025")</f>
        <v/>
      </c>
      <c r="AD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44920</v>
      </c>
      <c r="E17" s="1" t="n">
        <v>46263</v>
      </c>
      <c r="F17" t="inlineStr">
        <is>
          <t>ÖREBRO LÄN</t>
        </is>
      </c>
      <c r="G17" t="inlineStr">
        <is>
          <t>LJUSNARSBERG</t>
        </is>
      </c>
      <c r="I17" t="n">
        <v>5.7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7</v>
      </c>
      <c r="U17" t="n">
        <v>7</v>
      </c>
      <c r="V17" s="2" t="inlineStr">
        <is>
          <t>Spillkråka
Kungsfågel</t>
        </is>
      </c>
      <c r="W17">
        <f>HYPERLINK("https://klasma.github.io/Logging_1864/artfynd/A 62105-2022 artfynd.xlsx", "A 62105-2022")</f>
        <v/>
      </c>
      <c r="X17">
        <f>HYPERLINK("https://klasma.github.io/Logging_1864/kartor/A 62105-2022 karta.png", "A 62105-2022")</f>
        <v/>
      </c>
      <c r="Y17">
        <f>HYPERLINK("https://klasma.github.io/Logging_1864/kartor_geotiff/A 62105-2022 georefererad karta.tif", "A 62105-2022")</f>
        <v/>
      </c>
      <c r="AA17">
        <f>HYPERLINK("https://klasma.github.io/Logging_1864/klagomål/A 62105-2022 FSC-klagomål.docx", "A 62105-2022")</f>
        <v/>
      </c>
      <c r="AB17">
        <f>HYPERLINK("https://klasma.github.io/Logging_1864/klagomålsmail/A 62105-2022 FSC-klagomål mail.docx", "A 62105-2022")</f>
        <v/>
      </c>
      <c r="AC17">
        <f>HYPERLINK("https://klasma.github.io/Logging_1864/tillsyn/A 62105-2022 tillsynsbegäran.docx", "A 62105-2022")</f>
        <v/>
      </c>
      <c r="AD17">
        <f>HYPERLINK("https://klasma.github.io/Logging_1864/tillsynsmail/A 62105-2022 tillsynsbegäran mail.docx", "A 62105-2022")</f>
        <v/>
      </c>
      <c r="AE17">
        <f>HYPERLINK("https://klasma.github.io/Logging_1864/fåglar/A 62105-2022 prioriterade fågelarter.docx", "A 62105-2022")</f>
        <v/>
      </c>
    </row>
    <row r="18" ht="15" customHeight="1">
      <c r="A18" t="inlineStr">
        <is>
          <t>A 49157-2023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46263</v>
      </c>
      <c r="F18" t="inlineStr">
        <is>
          <t>ÖREBRO LÄN</t>
        </is>
      </c>
      <c r="G18" t="inlineStr">
        <is>
          <t>LJUSNARSBERG</t>
        </is>
      </c>
      <c r="I18" t="n">
        <v>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Rödgul trumpetsvamp
Skogshakmossa</t>
        </is>
      </c>
      <c r="W18">
        <f>HYPERLINK("https://klasma.github.io/Logging_1864/artfynd/A 49157-2023 artfynd.xlsx", "A 49157-2023")</f>
        <v/>
      </c>
      <c r="X18">
        <f>HYPERLINK("https://klasma.github.io/Logging_1864/kartor/A 49157-2023 karta.png", "A 49157-2023")</f>
        <v/>
      </c>
      <c r="Y18">
        <f>HYPERLINK("https://klasma.github.io/Logging_1864/kartor_geotiff/A 49157-2023 georefererad karta.tif", "A 49157-2023")</f>
        <v/>
      </c>
      <c r="AA18">
        <f>HYPERLINK("https://klasma.github.io/Logging_1864/klagomål/A 49157-2023 FSC-klagomål.docx", "A 49157-2023")</f>
        <v/>
      </c>
      <c r="AB18">
        <f>HYPERLINK("https://klasma.github.io/Logging_1864/klagomålsmail/A 49157-2023 FSC-klagomål mail.docx", "A 49157-2023")</f>
        <v/>
      </c>
      <c r="AC18">
        <f>HYPERLINK("https://klasma.github.io/Logging_1864/tillsyn/A 49157-2023 tillsynsbegäran.docx", "A 49157-2023")</f>
        <v/>
      </c>
      <c r="AD18">
        <f>HYPERLINK("https://klasma.github.io/Logging_1864/tillsynsmail/A 49157-2023 tillsynsbegäran mail.docx", "A 49157-2023")</f>
        <v/>
      </c>
    </row>
    <row r="19" ht="15" customHeight="1">
      <c r="A19" t="inlineStr">
        <is>
          <t>A 45536-2024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45578</v>
      </c>
      <c r="E19" s="1" t="n">
        <v>46263</v>
      </c>
      <c r="F19" t="inlineStr">
        <is>
          <t>ÖREBRO LÄN</t>
        </is>
      </c>
      <c r="G19" t="inlineStr">
        <is>
          <t>LJUSNARSBERG</t>
        </is>
      </c>
      <c r="H19" t="inlineStr">
        <is>
          <t>Bergvik skog väst AB</t>
        </is>
      </c>
      <c r="I19" t="n">
        <v>5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6</v>
      </c>
      <c r="U19" t="n">
        <v>6</v>
      </c>
      <c r="V19" s="2" t="inlineStr">
        <is>
          <t>Tvåblad
Fläcknycklar</t>
        </is>
      </c>
      <c r="W19">
        <f>HYPERLINK("https://klasma.github.io/Logging_1864/artfynd/A 45536-2024 artfynd.xlsx", "A 45536-2024")</f>
        <v/>
      </c>
      <c r="X19">
        <f>HYPERLINK("https://klasma.github.io/Logging_1864/kartor/A 45536-2024 karta.png", "A 45536-2024")</f>
        <v/>
      </c>
      <c r="Y19">
        <f>HYPERLINK("https://klasma.github.io/Logging_1864/kartor_geotiff/A 45536-2024 georefererad karta.tif", "A 45536-2024")</f>
        <v/>
      </c>
      <c r="AA19">
        <f>HYPERLINK("https://klasma.github.io/Logging_1864/klagomål/A 45536-2024 FSC-klagomål.docx", "A 45536-2024")</f>
        <v/>
      </c>
      <c r="AB19">
        <f>HYPERLINK("https://klasma.github.io/Logging_1864/klagomålsmail/A 45536-2024 FSC-klagomål mail.docx", "A 45536-2024")</f>
        <v/>
      </c>
      <c r="AC19">
        <f>HYPERLINK("https://klasma.github.io/Logging_1864/tillsyn/A 45536-2024 tillsynsbegäran.docx", "A 45536-2024")</f>
        <v/>
      </c>
      <c r="AD19">
        <f>HYPERLINK("https://klasma.github.io/Logging_1864/tillsynsmail/A 45536-2024 tillsynsbegäran mail.docx", "A 45536-2024")</f>
        <v/>
      </c>
    </row>
    <row r="20" ht="15" customHeight="1">
      <c r="A20" t="inlineStr">
        <is>
          <t>A 33193-2024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45518</v>
      </c>
      <c r="E20" s="1" t="n">
        <v>46263</v>
      </c>
      <c r="F20" t="inlineStr">
        <is>
          <t>ÖREBRO LÄN</t>
        </is>
      </c>
      <c r="G20" t="inlineStr">
        <is>
          <t>LJUSNARSBERG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Dropptaggsvamp
Tjäder</t>
        </is>
      </c>
      <c r="W20">
        <f>HYPERLINK("https://klasma.github.io/Logging_1864/artfynd/A 33193-2024 artfynd.xlsx", "A 33193-2024")</f>
        <v/>
      </c>
      <c r="X20">
        <f>HYPERLINK("https://klasma.github.io/Logging_1864/kartor/A 33193-2024 karta.png", "A 33193-2024")</f>
        <v/>
      </c>
      <c r="Y20">
        <f>HYPERLINK("https://klasma.github.io/Logging_1864/kartor_geotiff/A 33193-2024 georefererad karta.tif", "A 33193-2024")</f>
        <v/>
      </c>
      <c r="AA20">
        <f>HYPERLINK("https://klasma.github.io/Logging_1864/klagomål/A 33193-2024 FSC-klagomål.docx", "A 33193-2024")</f>
        <v/>
      </c>
      <c r="AB20">
        <f>HYPERLINK("https://klasma.github.io/Logging_1864/klagomålsmail/A 33193-2024 FSC-klagomål mail.docx", "A 33193-2024")</f>
        <v/>
      </c>
      <c r="AC20">
        <f>HYPERLINK("https://klasma.github.io/Logging_1864/tillsyn/A 33193-2024 tillsynsbegäran.docx", "A 33193-2024")</f>
        <v/>
      </c>
      <c r="AD20">
        <f>HYPERLINK("https://klasma.github.io/Logging_1864/tillsynsmail/A 33193-2024 tillsynsbegäran mail.docx", "A 33193-2024")</f>
        <v/>
      </c>
      <c r="AE20">
        <f>HYPERLINK("https://klasma.github.io/Logging_1864/fåglar/A 33193-2024 prioriterade fågelarter.docx", "A 33193-2024")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46263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46263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46263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56859-2025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45975</v>
      </c>
      <c r="E24" s="1" t="n">
        <v>46263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Större vattensalamander</t>
        </is>
      </c>
      <c r="W24">
        <f>HYPERLINK("https://klasma.github.io/Logging_1864/artfynd/A 56859-2025 artfynd.xlsx", "A 56859-2025")</f>
        <v/>
      </c>
      <c r="X24">
        <f>HYPERLINK("https://klasma.github.io/Logging_1864/kartor/A 56859-2025 karta.png", "A 56859-2025")</f>
        <v/>
      </c>
      <c r="Y24">
        <f>HYPERLINK("https://klasma.github.io/Logging_1864/kartor_geotiff/A 56859-2025 georefererad karta.tif", "A 56859-2025")</f>
        <v/>
      </c>
      <c r="AA24">
        <f>HYPERLINK("https://klasma.github.io/Logging_1864/klagomål/A 56859-2025 FSC-klagomål.docx", "A 56859-2025")</f>
        <v/>
      </c>
      <c r="AB24">
        <f>HYPERLINK("https://klasma.github.io/Logging_1864/klagomålsmail/A 56859-2025 FSC-klagomål mail.docx", "A 56859-2025")</f>
        <v/>
      </c>
      <c r="AC24">
        <f>HYPERLINK("https://klasma.github.io/Logging_1864/tillsyn/A 56859-2025 tillsynsbegäran.docx", "A 56859-2025")</f>
        <v/>
      </c>
      <c r="AD24">
        <f>HYPERLINK("https://klasma.github.io/Logging_1864/tillsynsmail/A 56859-2025 tillsynsbegäran mail.docx", "A 56859-2025")</f>
        <v/>
      </c>
    </row>
    <row r="25" ht="15" customHeight="1">
      <c r="A25" t="inlineStr">
        <is>
          <t>A 20797-2022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44701</v>
      </c>
      <c r="E25" s="1" t="n">
        <v>46263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HYPERLINK("https://klasma.github.io/Logging_1864/artfynd/A 20797-2022 artfynd.xlsx", "A 20797-2022")</f>
        <v/>
      </c>
      <c r="X25">
        <f>HYPERLINK("https://klasma.github.io/Logging_1864/kartor/A 20797-2022 karta.png", "A 20797-2022")</f>
        <v/>
      </c>
      <c r="Y25">
        <f>HYPERLINK("https://klasma.github.io/Logging_1864/kartor_geotiff/A 20797-2022 georefererad karta.tif", "A 20797-2022")</f>
        <v/>
      </c>
      <c r="AA25">
        <f>HYPERLINK("https://klasma.github.io/Logging_1864/klagomål/A 20797-2022 FSC-klagomål.docx", "A 20797-2022")</f>
        <v/>
      </c>
      <c r="AB25">
        <f>HYPERLINK("https://klasma.github.io/Logging_1864/klagomålsmail/A 20797-2022 FSC-klagomål mail.docx", "A 20797-2022")</f>
        <v/>
      </c>
      <c r="AC25">
        <f>HYPERLINK("https://klasma.github.io/Logging_1864/tillsyn/A 20797-2022 tillsynsbegäran.docx", "A 20797-2022")</f>
        <v/>
      </c>
      <c r="AD25">
        <f>HYPERLINK("https://klasma.github.io/Logging_1864/tillsynsmail/A 20797-2022 tillsynsbegäran mail.docx", "A 20797-2022")</f>
        <v/>
      </c>
    </row>
    <row r="26" ht="15" customHeight="1">
      <c r="A26" t="inlineStr">
        <is>
          <t>A 19940-2026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46136</v>
      </c>
      <c r="E26" s="1" t="n">
        <v>46263</v>
      </c>
      <c r="F26" t="inlineStr">
        <is>
          <t>ÖREBRO LÄN</t>
        </is>
      </c>
      <c r="G26" t="inlineStr">
        <is>
          <t>LJUSNARSBERG</t>
        </is>
      </c>
      <c r="H26" t="inlineStr">
        <is>
          <t>Sveaskog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HYPERLINK("https://klasma.github.io/Logging_1864/artfynd/A 19940-2026 artfynd.xlsx", "A 19940-2026")</f>
        <v/>
      </c>
      <c r="X26">
        <f>HYPERLINK("https://klasma.github.io/Logging_1864/kartor/A 19940-2026 karta.png", "A 19940-2026")</f>
        <v/>
      </c>
      <c r="Y26">
        <f>HYPERLINK("https://klasma.github.io/Logging_1864/kartor_geotiff/A 19940-2026 georefererad karta.tif", "A 19940-2026")</f>
        <v/>
      </c>
      <c r="AA26">
        <f>HYPERLINK("https://klasma.github.io/Logging_1864/klagomål/A 19940-2026 FSC-klagomål.docx", "A 19940-2026")</f>
        <v/>
      </c>
      <c r="AB26">
        <f>HYPERLINK("https://klasma.github.io/Logging_1864/klagomålsmail/A 19940-2026 FSC-klagomål mail.docx", "A 19940-2026")</f>
        <v/>
      </c>
      <c r="AC26">
        <f>HYPERLINK("https://klasma.github.io/Logging_1864/tillsyn/A 19940-2026 tillsynsbegäran.docx", "A 19940-2026")</f>
        <v/>
      </c>
      <c r="AD26">
        <f>HYPERLINK("https://klasma.github.io/Logging_1864/tillsynsmail/A 19940-2026 tillsynsbegäran mail.docx", "A 19940-2026")</f>
        <v/>
      </c>
    </row>
    <row r="27" ht="15" customHeight="1">
      <c r="A27" t="inlineStr">
        <is>
          <t>A 39095-2022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44817</v>
      </c>
      <c r="E27" s="1" t="n">
        <v>46263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HYPERLINK("https://klasma.github.io/Logging_1864/artfynd/A 39095-2022 artfynd.xlsx", "A 39095-2022")</f>
        <v/>
      </c>
      <c r="X27">
        <f>HYPERLINK("https://klasma.github.io/Logging_1864/kartor/A 39095-2022 karta.png", "A 39095-2022")</f>
        <v/>
      </c>
      <c r="Y27">
        <f>HYPERLINK("https://klasma.github.io/Logging_1864/kartor_geotiff/A 39095-2022 georefererad karta.tif", "A 39095-2022")</f>
        <v/>
      </c>
      <c r="AA27">
        <f>HYPERLINK("https://klasma.github.io/Logging_1864/klagomål/A 39095-2022 FSC-klagomål.docx", "A 39095-2022")</f>
        <v/>
      </c>
      <c r="AB27">
        <f>HYPERLINK("https://klasma.github.io/Logging_1864/klagomålsmail/A 39095-2022 FSC-klagomål mail.docx", "A 39095-2022")</f>
        <v/>
      </c>
      <c r="AC27">
        <f>HYPERLINK("https://klasma.github.io/Logging_1864/tillsyn/A 39095-2022 tillsynsbegäran.docx", "A 39095-2022")</f>
        <v/>
      </c>
      <c r="AD27">
        <f>HYPERLINK("https://klasma.github.io/Logging_1864/tillsynsmail/A 39095-2022 tillsynsbegäran mail.docx", "A 39095-2022")</f>
        <v/>
      </c>
    </row>
    <row r="28" ht="15" customHeight="1">
      <c r="A28" t="inlineStr">
        <is>
          <t>A 45537-2024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45578</v>
      </c>
      <c r="E28" s="1" t="n">
        <v>46263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Fläcknycklar</t>
        </is>
      </c>
      <c r="W28">
        <f>HYPERLINK("https://klasma.github.io/Logging_1864/artfynd/A 45537-2024 artfynd.xlsx", "A 45537-2024")</f>
        <v/>
      </c>
      <c r="X28">
        <f>HYPERLINK("https://klasma.github.io/Logging_1864/kartor/A 45537-2024 karta.png", "A 45537-2024")</f>
        <v/>
      </c>
      <c r="Y28">
        <f>HYPERLINK("https://klasma.github.io/Logging_1864/kartor_geotiff/A 45537-2024 georefererad karta.tif", "A 45537-2024")</f>
        <v/>
      </c>
      <c r="AA28">
        <f>HYPERLINK("https://klasma.github.io/Logging_1864/klagomål/A 45537-2024 FSC-klagomål.docx", "A 45537-2024")</f>
        <v/>
      </c>
      <c r="AB28">
        <f>HYPERLINK("https://klasma.github.io/Logging_1864/klagomålsmail/A 45537-2024 FSC-klagomål mail.docx", "A 45537-2024")</f>
        <v/>
      </c>
      <c r="AC28">
        <f>HYPERLINK("https://klasma.github.io/Logging_1864/tillsyn/A 45537-2024 tillsynsbegäran.docx", "A 45537-2024")</f>
        <v/>
      </c>
      <c r="AD28">
        <f>HYPERLINK("https://klasma.github.io/Logging_1864/tillsynsmail/A 45537-2024 tillsynsbegäran mail.docx", "A 45537-2024")</f>
        <v/>
      </c>
    </row>
    <row r="29" ht="15" customHeight="1">
      <c r="A29" t="inlineStr">
        <is>
          <t>A 18857-2026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46127</v>
      </c>
      <c r="E29" s="1" t="n">
        <v>46263</v>
      </c>
      <c r="F29" t="inlineStr">
        <is>
          <t>ÖREBRO LÄN</t>
        </is>
      </c>
      <c r="G29" t="inlineStr">
        <is>
          <t>LJUSNARSBERG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Trana</t>
        </is>
      </c>
      <c r="W29">
        <f>HYPERLINK("https://klasma.github.io/Logging_1864/artfynd/A 18857-2026 artfynd.xlsx", "A 18857-2026")</f>
        <v/>
      </c>
      <c r="X29">
        <f>HYPERLINK("https://klasma.github.io/Logging_1864/kartor/A 18857-2026 karta.png", "A 18857-2026")</f>
        <v/>
      </c>
      <c r="Y29">
        <f>HYPERLINK("https://klasma.github.io/Logging_1864/kartor_geotiff/A 18857-2026 georefererad karta.tif", "A 18857-2026")</f>
        <v/>
      </c>
      <c r="AA29">
        <f>HYPERLINK("https://klasma.github.io/Logging_1864/klagomål/A 18857-2026 FSC-klagomål.docx", "A 18857-2026")</f>
        <v/>
      </c>
      <c r="AB29">
        <f>HYPERLINK("https://klasma.github.io/Logging_1864/klagomålsmail/A 18857-2026 FSC-klagomål mail.docx", "A 18857-2026")</f>
        <v/>
      </c>
      <c r="AC29">
        <f>HYPERLINK("https://klasma.github.io/Logging_1864/tillsyn/A 18857-2026 tillsynsbegäran.docx", "A 18857-2026")</f>
        <v/>
      </c>
      <c r="AD29">
        <f>HYPERLINK("https://klasma.github.io/Logging_1864/tillsynsmail/A 18857-2026 tillsynsbegäran mail.docx", "A 18857-2026")</f>
        <v/>
      </c>
      <c r="AE29">
        <f>HYPERLINK("https://klasma.github.io/Logging_1864/fåglar/A 18857-2026 prioriterade fågelarter.docx", "A 18857-2026")</f>
        <v/>
      </c>
    </row>
    <row r="30" ht="15" customHeight="1">
      <c r="A30" t="inlineStr">
        <is>
          <t>A 24348-2026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46263</v>
      </c>
      <c r="F30" t="inlineStr">
        <is>
          <t>ÖREBRO LÄN</t>
        </is>
      </c>
      <c r="G30" t="inlineStr">
        <is>
          <t>LJUSNARSBERG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HYPERLINK("https://klasma.github.io/Logging_1864/artfynd/A 24348-2026 artfynd.xlsx", "A 24348-2026")</f>
        <v/>
      </c>
      <c r="X30">
        <f>HYPERLINK("https://klasma.github.io/Logging_1864/kartor/A 24348-2026 karta.png", "A 24348-2026")</f>
        <v/>
      </c>
      <c r="Y30">
        <f>HYPERLINK("https://klasma.github.io/Logging_1864/kartor_geotiff/A 24348-2026 georefererad karta.tif", "A 24348-2026")</f>
        <v/>
      </c>
      <c r="AA30">
        <f>HYPERLINK("https://klasma.github.io/Logging_1864/klagomål/A 24348-2026 FSC-klagomål.docx", "A 24348-2026")</f>
        <v/>
      </c>
      <c r="AB30">
        <f>HYPERLINK("https://klasma.github.io/Logging_1864/klagomålsmail/A 24348-2026 FSC-klagomål mail.docx", "A 24348-2026")</f>
        <v/>
      </c>
      <c r="AC30">
        <f>HYPERLINK("https://klasma.github.io/Logging_1864/tillsyn/A 24348-2026 tillsynsbegäran.docx", "A 24348-2026")</f>
        <v/>
      </c>
      <c r="AD30">
        <f>HYPERLINK("https://klasma.github.io/Logging_1864/tillsynsmail/A 24348-2026 tillsynsbegäran mail.docx", "A 24348-2026")</f>
        <v/>
      </c>
      <c r="AE30">
        <f>HYPERLINK("https://klasma.github.io/Logging_1864/fåglar/A 24348-2026 prioriterade fågelarter.docx", "A 24348-2026")</f>
        <v/>
      </c>
    </row>
    <row r="31" ht="15" customHeight="1">
      <c r="A31" t="inlineStr">
        <is>
          <t>S 3758-2024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45555</v>
      </c>
      <c r="E31" s="1" t="n">
        <v>46263</v>
      </c>
      <c r="F31" t="inlineStr">
        <is>
          <t>ÖREBRO LÄN</t>
        </is>
      </c>
      <c r="G31" t="inlineStr">
        <is>
          <t>LJUSNARSBERG</t>
        </is>
      </c>
      <c r="H31" t="inlineStr">
        <is>
          <t>Bergvik skog väst AB</t>
        </is>
      </c>
      <c r="I31" t="n">
        <v>14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Bårdlav</t>
        </is>
      </c>
      <c r="W31">
        <f>HYPERLINK("https://klasma.github.io/Logging_1864/artfynd/S 3758-2024 artfynd.xlsx", "S 3758-2024")</f>
        <v/>
      </c>
      <c r="X31">
        <f>HYPERLINK("https://klasma.github.io/Logging_1864/kartor/S 3758-2024 karta.png", "S 3758-2024")</f>
        <v/>
      </c>
      <c r="Y31">
        <f>HYPERLINK("https://klasma.github.io/Logging_1864/kartor_geotiff/S 3758-2024 georefererad karta.tif", "S 3758-2024")</f>
        <v/>
      </c>
      <c r="AA31">
        <f>HYPERLINK("https://klasma.github.io/Logging_1864/klagomål/S 3758-2024 FSC-klagomål.docx", "S 3758-2024")</f>
        <v/>
      </c>
      <c r="AB31">
        <f>HYPERLINK("https://klasma.github.io/Logging_1864/klagomålsmail/S 3758-2024 FSC-klagomål mail.docx", "S 3758-2024")</f>
        <v/>
      </c>
      <c r="AC31">
        <f>HYPERLINK("https://klasma.github.io/Logging_1864/tillsyn/S 3758-2024 tillsynsbegäran.docx", "S 3758-2024")</f>
        <v/>
      </c>
      <c r="AD31">
        <f>HYPERLINK("https://klasma.github.io/Logging_1864/tillsynsmail/S 3758-2024 tillsynsbegäran mail.docx", "S 3758-2024")</f>
        <v/>
      </c>
    </row>
    <row r="32" ht="15" customHeight="1">
      <c r="A32" t="inlineStr">
        <is>
          <t>A 64400-2021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46263</v>
      </c>
      <c r="F32" t="inlineStr">
        <is>
          <t>ÖREBRO LÄN</t>
        </is>
      </c>
      <c r="G32" t="inlineStr">
        <is>
          <t>LJUSNARSBERG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44858-2021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46263</v>
      </c>
      <c r="F33" t="inlineStr">
        <is>
          <t>ÖREBRO LÄN</t>
        </is>
      </c>
      <c r="G33" t="inlineStr">
        <is>
          <t>LJUSNARSBERG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45859-2021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44441</v>
      </c>
      <c r="E34" s="1" t="n">
        <v>46263</v>
      </c>
      <c r="F34" t="inlineStr">
        <is>
          <t>ÖREBRO LÄN</t>
        </is>
      </c>
      <c r="G34" t="inlineStr">
        <is>
          <t>LJUSNARSBERG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72157-2021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44544</v>
      </c>
      <c r="E35" s="1" t="n">
        <v>46263</v>
      </c>
      <c r="F35" t="inlineStr">
        <is>
          <t>ÖREBRO LÄN</t>
        </is>
      </c>
      <c r="G35" t="inlineStr">
        <is>
          <t>LJUSNARSBERG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64978-2021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44513</v>
      </c>
      <c r="E36" s="1" t="n">
        <v>46263</v>
      </c>
      <c r="F36" t="inlineStr">
        <is>
          <t>ÖREBRO LÄN</t>
        </is>
      </c>
      <c r="G36" t="inlineStr">
        <is>
          <t>LJUSNARSBERG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46263</v>
      </c>
      <c r="F37" t="inlineStr">
        <is>
          <t>ÖREBRO LÄN</t>
        </is>
      </c>
      <c r="G37" t="inlineStr">
        <is>
          <t>LJUSNARSBERG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5636-2022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44595</v>
      </c>
      <c r="E38" s="1" t="n">
        <v>46263</v>
      </c>
      <c r="F38" t="inlineStr">
        <is>
          <t>ÖREBRO LÄN</t>
        </is>
      </c>
      <c r="G38" t="inlineStr">
        <is>
          <t>LJUSNARSBERG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25773-2022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44733</v>
      </c>
      <c r="E39" s="1" t="n">
        <v>46263</v>
      </c>
      <c r="F39" t="inlineStr">
        <is>
          <t>ÖREBRO LÄN</t>
        </is>
      </c>
      <c r="G39" t="inlineStr">
        <is>
          <t>LJUSNARSBERG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38276-2022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46263</v>
      </c>
      <c r="F40" t="inlineStr">
        <is>
          <t>ÖREBRO LÄN</t>
        </is>
      </c>
      <c r="G40" t="inlineStr">
        <is>
          <t>LJUSNARSBERG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35976-2022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46263</v>
      </c>
      <c r="F41" t="inlineStr">
        <is>
          <t>ÖREBRO LÄN</t>
        </is>
      </c>
      <c r="G41" t="inlineStr">
        <is>
          <t>LJUSNARSBERG</t>
        </is>
      </c>
      <c r="H41" t="inlineStr">
        <is>
          <t>Bergvik skog väst AB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46263</v>
      </c>
      <c r="F42" t="inlineStr">
        <is>
          <t>ÖREBRO LÄN</t>
        </is>
      </c>
      <c r="G42" t="inlineStr">
        <is>
          <t>LJUSNARSBERG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46263</v>
      </c>
      <c r="F43" t="inlineStr">
        <is>
          <t>ÖREBRO LÄN</t>
        </is>
      </c>
      <c r="G43" t="inlineStr">
        <is>
          <t>LJUSNARSBERG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33858-2022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46263</v>
      </c>
      <c r="F44" t="inlineStr">
        <is>
          <t>ÖREBRO LÄN</t>
        </is>
      </c>
      <c r="G44" t="inlineStr">
        <is>
          <t>LJUSNARSBERG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46263</v>
      </c>
      <c r="F45" t="inlineStr">
        <is>
          <t>ÖREBRO LÄN</t>
        </is>
      </c>
      <c r="G45" t="inlineStr">
        <is>
          <t>LJUSNARSBERG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44858</v>
      </c>
      <c r="E46" s="1" t="n">
        <v>46263</v>
      </c>
      <c r="F46" t="inlineStr">
        <is>
          <t>ÖREBRO LÄN</t>
        </is>
      </c>
      <c r="G46" t="inlineStr">
        <is>
          <t>LJUSNARSBERG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13803-2024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45390</v>
      </c>
      <c r="E47" s="1" t="n">
        <v>46263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17.8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18975-2025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45764</v>
      </c>
      <c r="E48" s="1" t="n">
        <v>46263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51693-2025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45951</v>
      </c>
      <c r="E49" s="1" t="n">
        <v>46263</v>
      </c>
      <c r="F49" t="inlineStr">
        <is>
          <t>ÖREBRO LÄN</t>
        </is>
      </c>
      <c r="G49" t="inlineStr">
        <is>
          <t>LJUSNARSBERG</t>
        </is>
      </c>
      <c r="I49" t="n">
        <v>10.8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31162-2023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46263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28778-2024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45478</v>
      </c>
      <c r="E51" s="1" t="n">
        <v>46263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45638</v>
      </c>
      <c r="E52" s="1" t="n">
        <v>46263</v>
      </c>
      <c r="F52" t="inlineStr">
        <is>
          <t>ÖREBRO LÄN</t>
        </is>
      </c>
      <c r="G52" t="inlineStr">
        <is>
          <t>LJUSNARSBERG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44468</v>
      </c>
      <c r="E53" s="1" t="n">
        <v>46263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45832</v>
      </c>
      <c r="E54" s="1" t="n">
        <v>46263</v>
      </c>
      <c r="F54" t="inlineStr">
        <is>
          <t>ÖREBRO LÄN</t>
        </is>
      </c>
      <c r="G54" t="inlineStr">
        <is>
          <t>LJUSNARSBERG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13389-2024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46263</v>
      </c>
      <c r="F55" t="inlineStr">
        <is>
          <t>ÖREBRO LÄN</t>
        </is>
      </c>
      <c r="G55" t="inlineStr">
        <is>
          <t>LJUSNARSBERG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45698</v>
      </c>
      <c r="E56" s="1" t="n">
        <v>46263</v>
      </c>
      <c r="F56" t="inlineStr">
        <is>
          <t>ÖREBRO LÄN</t>
        </is>
      </c>
      <c r="G56" t="inlineStr">
        <is>
          <t>LJUSNARSBERG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45593</v>
      </c>
      <c r="E57" s="1" t="n">
        <v>46263</v>
      </c>
      <c r="F57" t="inlineStr">
        <is>
          <t>ÖREBRO LÄN</t>
        </is>
      </c>
      <c r="G57" t="inlineStr">
        <is>
          <t>LJUSNARSBERG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46263</v>
      </c>
      <c r="F58" t="inlineStr">
        <is>
          <t>ÖREBRO LÄN</t>
        </is>
      </c>
      <c r="G58" t="inlineStr">
        <is>
          <t>LJUSNARSBERG</t>
        </is>
      </c>
      <c r="H58" t="inlineStr">
        <is>
          <t>Bergvik skog väst AB</t>
        </is>
      </c>
      <c r="I58" t="n">
        <v>10.8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34926-2023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46263</v>
      </c>
      <c r="F59" t="inlineStr">
        <is>
          <t>ÖREBRO LÄN</t>
        </is>
      </c>
      <c r="G59" t="inlineStr">
        <is>
          <t>LJUSNARSBERG</t>
        </is>
      </c>
      <c r="H59" t="inlineStr">
        <is>
          <t>Bergvik skog väst AB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45574</v>
      </c>
      <c r="E60" s="1" t="n">
        <v>46263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46263</v>
      </c>
      <c r="F61" t="inlineStr">
        <is>
          <t>ÖREBRO LÄN</t>
        </is>
      </c>
      <c r="G61" t="inlineStr">
        <is>
          <t>LJUSNARSBERG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46263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46263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46263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46263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46263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46263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46263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46263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46263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30774-2023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45112</v>
      </c>
      <c r="E71" s="1" t="n">
        <v>46263</v>
      </c>
      <c r="F71" t="inlineStr">
        <is>
          <t>ÖREBRO LÄN</t>
        </is>
      </c>
      <c r="G71" t="inlineStr">
        <is>
          <t>LJUSNARSBERG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17923-2024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45419</v>
      </c>
      <c r="E72" s="1" t="n">
        <v>46263</v>
      </c>
      <c r="F72" t="inlineStr">
        <is>
          <t>ÖREBRO LÄN</t>
        </is>
      </c>
      <c r="G72" t="inlineStr">
        <is>
          <t>LJUSNARSBERG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46263</v>
      </c>
      <c r="F73" t="inlineStr">
        <is>
          <t>ÖREBRO LÄN</t>
        </is>
      </c>
      <c r="G73" t="inlineStr">
        <is>
          <t>LJUSNARSBERG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33974-2023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45124</v>
      </c>
      <c r="E74" s="1" t="n">
        <v>46263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33979-2023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46263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45347</v>
      </c>
      <c r="E76" s="1" t="n">
        <v>46263</v>
      </c>
      <c r="F76" t="inlineStr">
        <is>
          <t>ÖREBRO LÄN</t>
        </is>
      </c>
      <c r="G76" t="inlineStr">
        <is>
          <t>LJUSNARSBERG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46263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44956</v>
      </c>
      <c r="E78" s="1" t="n">
        <v>46263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5.4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45909</v>
      </c>
      <c r="E79" s="1" t="n">
        <v>46263</v>
      </c>
      <c r="F79" t="inlineStr">
        <is>
          <t>ÖREBRO LÄN</t>
        </is>
      </c>
      <c r="G79" t="inlineStr">
        <is>
          <t>LJUSNARSBERG</t>
        </is>
      </c>
      <c r="I79" t="n">
        <v>17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46263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46263</v>
      </c>
      <c r="F81" t="inlineStr">
        <is>
          <t>ÖREBRO LÄN</t>
        </is>
      </c>
      <c r="G81" t="inlineStr">
        <is>
          <t>LJUSNARSBERG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40864-2025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45897</v>
      </c>
      <c r="E82" s="1" t="n">
        <v>46263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57400-2025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45980</v>
      </c>
      <c r="E83" s="1" t="n">
        <v>46263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45980</v>
      </c>
      <c r="E84" s="1" t="n">
        <v>46263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5.5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59497-2024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45638</v>
      </c>
      <c r="E85" s="1" t="n">
        <v>46263</v>
      </c>
      <c r="F85" t="inlineStr">
        <is>
          <t>ÖREBRO LÄN</t>
        </is>
      </c>
      <c r="G85" t="inlineStr">
        <is>
          <t>LJUSNARSBERG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46263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22887-2024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45448</v>
      </c>
      <c r="E87" s="1" t="n">
        <v>46263</v>
      </c>
      <c r="F87" t="inlineStr">
        <is>
          <t>ÖREBRO LÄN</t>
        </is>
      </c>
      <c r="G87" t="inlineStr">
        <is>
          <t>LJUSNARSBERG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46263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45807</v>
      </c>
      <c r="E89" s="1" t="n">
        <v>46263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46263</v>
      </c>
      <c r="F90" t="inlineStr">
        <is>
          <t>ÖREBRO LÄN</t>
        </is>
      </c>
      <c r="G90" t="inlineStr">
        <is>
          <t>LJUSNARSBERG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20673-2025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45776</v>
      </c>
      <c r="E91" s="1" t="n">
        <v>46263</v>
      </c>
      <c r="F91" t="inlineStr">
        <is>
          <t>ÖREBRO LÄN</t>
        </is>
      </c>
      <c r="G91" t="inlineStr">
        <is>
          <t>LJUSNARSBERG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12482-2023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44999</v>
      </c>
      <c r="E92" s="1" t="n">
        <v>46263</v>
      </c>
      <c r="F92" t="inlineStr">
        <is>
          <t>ÖREBRO LÄN</t>
        </is>
      </c>
      <c r="G92" t="inlineStr">
        <is>
          <t>LJUSNARSBERG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46263</v>
      </c>
      <c r="F93" t="inlineStr">
        <is>
          <t>ÖREBRO LÄN</t>
        </is>
      </c>
      <c r="G93" t="inlineStr">
        <is>
          <t>LJUSNARSBERG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48534-2025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46263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46263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45155</v>
      </c>
      <c r="E96" s="1" t="n">
        <v>46263</v>
      </c>
      <c r="F96" t="inlineStr">
        <is>
          <t>ÖREBRO LÄN</t>
        </is>
      </c>
      <c r="G96" t="inlineStr">
        <is>
          <t>LJUSNARSBERG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46263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46263</v>
      </c>
      <c r="F98" t="inlineStr">
        <is>
          <t>ÖREBRO LÄN</t>
        </is>
      </c>
      <c r="G98" t="inlineStr">
        <is>
          <t>LJUSNARSBERG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45934</v>
      </c>
      <c r="E99" s="1" t="n">
        <v>46263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45578</v>
      </c>
      <c r="E100" s="1" t="n">
        <v>46263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45946</v>
      </c>
      <c r="E101" s="1" t="n">
        <v>46263</v>
      </c>
      <c r="F101" t="inlineStr">
        <is>
          <t>ÖREBRO LÄN</t>
        </is>
      </c>
      <c r="G101" t="inlineStr">
        <is>
          <t>LJUSNARSBERG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44760-2024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45574</v>
      </c>
      <c r="E102" s="1" t="n">
        <v>46263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46263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45826</v>
      </c>
      <c r="E104" s="1" t="n">
        <v>46263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46263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45827</v>
      </c>
      <c r="E106" s="1" t="n">
        <v>46263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45827</v>
      </c>
      <c r="E107" s="1" t="n">
        <v>46263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46263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46263</v>
      </c>
      <c r="F109" t="inlineStr">
        <is>
          <t>ÖREBRO LÄN</t>
        </is>
      </c>
      <c r="G109" t="inlineStr">
        <is>
          <t>LJUSNARSBERG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46263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45841</v>
      </c>
      <c r="E111" s="1" t="n">
        <v>46263</v>
      </c>
      <c r="F111" t="inlineStr">
        <is>
          <t>ÖREBRO LÄN</t>
        </is>
      </c>
      <c r="G111" t="inlineStr">
        <is>
          <t>LJUSNARSBERG</t>
        </is>
      </c>
      <c r="H111" t="inlineStr">
        <is>
          <t>Kyrkan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46263</v>
      </c>
      <c r="F112" t="inlineStr">
        <is>
          <t>ÖREBRO LÄN</t>
        </is>
      </c>
      <c r="G112" t="inlineStr">
        <is>
          <t>LJUSNARSBERG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25574-2023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45089</v>
      </c>
      <c r="E113" s="1" t="n">
        <v>46263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45085</v>
      </c>
      <c r="E114" s="1" t="n">
        <v>46263</v>
      </c>
      <c r="F114" t="inlineStr">
        <is>
          <t>ÖREBRO LÄN</t>
        </is>
      </c>
      <c r="G114" t="inlineStr">
        <is>
          <t>LJUSNARSBERG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44690</v>
      </c>
      <c r="E115" s="1" t="n">
        <v>46263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46263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45659</v>
      </c>
      <c r="E117" s="1" t="n">
        <v>46263</v>
      </c>
      <c r="F117" t="inlineStr">
        <is>
          <t>ÖREBRO LÄN</t>
        </is>
      </c>
      <c r="G117" t="inlineStr">
        <is>
          <t>LJUSNARSBERG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59629-2024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46263</v>
      </c>
      <c r="F118" t="inlineStr">
        <is>
          <t>ÖREBRO LÄN</t>
        </is>
      </c>
      <c r="G118" t="inlineStr">
        <is>
          <t>LJUSNARSBERG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26617-2022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44739</v>
      </c>
      <c r="E119" s="1" t="n">
        <v>46263</v>
      </c>
      <c r="F119" t="inlineStr">
        <is>
          <t>ÖREBRO LÄN</t>
        </is>
      </c>
      <c r="G119" t="inlineStr">
        <is>
          <t>LJUSNARSBERG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46263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46263</v>
      </c>
      <c r="F121" t="inlineStr">
        <is>
          <t>ÖREBRO LÄN</t>
        </is>
      </c>
      <c r="G121" t="inlineStr">
        <is>
          <t>LJUSNARSBERG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44720</v>
      </c>
      <c r="E122" s="1" t="n">
        <v>46263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17933-2024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46263</v>
      </c>
      <c r="F123" t="inlineStr">
        <is>
          <t>ÖREBRO LÄN</t>
        </is>
      </c>
      <c r="G123" t="inlineStr">
        <is>
          <t>LJUSNARSBERG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44720</v>
      </c>
      <c r="E124" s="1" t="n">
        <v>46263</v>
      </c>
      <c r="F124" t="inlineStr">
        <is>
          <t>ÖREBRO LÄN</t>
        </is>
      </c>
      <c r="G124" t="inlineStr">
        <is>
          <t>LJUSNARSBERG</t>
        </is>
      </c>
      <c r="H124" t="inlineStr">
        <is>
          <t>Bergvik skog väst AB</t>
        </is>
      </c>
      <c r="I124" t="n">
        <v>11.2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46263</v>
      </c>
      <c r="F125" t="inlineStr">
        <is>
          <t>ÖREBRO LÄN</t>
        </is>
      </c>
      <c r="G125" t="inlineStr">
        <is>
          <t>LJUSNARSBERG</t>
        </is>
      </c>
      <c r="H125" t="inlineStr">
        <is>
          <t>Bergvik skog väst AB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46013</v>
      </c>
      <c r="E126" s="1" t="n">
        <v>46263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44565</v>
      </c>
      <c r="E127" s="1" t="n">
        <v>46263</v>
      </c>
      <c r="F127" t="inlineStr">
        <is>
          <t>ÖREBRO LÄN</t>
        </is>
      </c>
      <c r="G127" t="inlineStr">
        <is>
          <t>LJUSNARSBERG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52489-2022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46263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30414-2023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46263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12.8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46037</v>
      </c>
      <c r="E130" s="1" t="n">
        <v>46263</v>
      </c>
      <c r="F130" t="inlineStr">
        <is>
          <t>ÖREBRO LÄN</t>
        </is>
      </c>
      <c r="G130" t="inlineStr">
        <is>
          <t>LJUSNARSBERG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46263-2021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44442</v>
      </c>
      <c r="E131" s="1" t="n">
        <v>46263</v>
      </c>
      <c r="F131" t="inlineStr">
        <is>
          <t>ÖREBRO LÄN</t>
        </is>
      </c>
      <c r="G131" t="inlineStr">
        <is>
          <t>LJUSNARSBERG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44917</v>
      </c>
      <c r="E132" s="1" t="n">
        <v>46263</v>
      </c>
      <c r="F132" t="inlineStr">
        <is>
          <t>ÖREBRO LÄN</t>
        </is>
      </c>
      <c r="G132" t="inlineStr">
        <is>
          <t>LJUSNARSBERG</t>
        </is>
      </c>
      <c r="H132" t="inlineStr">
        <is>
          <t>Bergvik skog väst AB</t>
        </is>
      </c>
      <c r="I132" t="n">
        <v>7.1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44788-2021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44438</v>
      </c>
      <c r="E133" s="1" t="n">
        <v>46263</v>
      </c>
      <c r="F133" t="inlineStr">
        <is>
          <t>ÖREBRO LÄN</t>
        </is>
      </c>
      <c r="G133" t="inlineStr">
        <is>
          <t>LJUSNARSBERG</t>
        </is>
      </c>
      <c r="H133" t="inlineStr">
        <is>
          <t>Bergvik skog väst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45086</v>
      </c>
      <c r="E134" s="1" t="n">
        <v>46263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46049</v>
      </c>
      <c r="E135" s="1" t="n">
        <v>46263</v>
      </c>
      <c r="F135" t="inlineStr">
        <is>
          <t>ÖREBRO LÄN</t>
        </is>
      </c>
      <c r="G135" t="inlineStr">
        <is>
          <t>LJUSNARSBERG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45394</v>
      </c>
      <c r="E136" s="1" t="n">
        <v>46263</v>
      </c>
      <c r="F136" t="inlineStr">
        <is>
          <t>ÖREBRO LÄN</t>
        </is>
      </c>
      <c r="G136" t="inlineStr">
        <is>
          <t>LJUSNARSBERG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46263</v>
      </c>
      <c r="F137" t="inlineStr">
        <is>
          <t>ÖREBRO LÄN</t>
        </is>
      </c>
      <c r="G137" t="inlineStr">
        <is>
          <t>LJUSNARSBERG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44917</v>
      </c>
      <c r="E138" s="1" t="n">
        <v>46263</v>
      </c>
      <c r="F138" t="inlineStr">
        <is>
          <t>ÖREBRO LÄN</t>
        </is>
      </c>
      <c r="G138" t="inlineStr">
        <is>
          <t>LJUSNARSBERG</t>
        </is>
      </c>
      <c r="H138" t="inlineStr">
        <is>
          <t>Bergvik skog väst AB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46263</v>
      </c>
      <c r="F139" t="inlineStr">
        <is>
          <t>ÖREBRO LÄN</t>
        </is>
      </c>
      <c r="G139" t="inlineStr">
        <is>
          <t>LJUSNARSBERG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46263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46801-2024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46263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16.8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25671-2024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45463</v>
      </c>
      <c r="E142" s="1" t="n">
        <v>46263</v>
      </c>
      <c r="F142" t="inlineStr">
        <is>
          <t>ÖREBRO LÄN</t>
        </is>
      </c>
      <c r="G142" t="inlineStr">
        <is>
          <t>LJUSNARSBERG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46263</v>
      </c>
      <c r="F143" t="inlineStr">
        <is>
          <t>ÖREBRO LÄN</t>
        </is>
      </c>
      <c r="G143" t="inlineStr">
        <is>
          <t>LJUSNARSBERG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61794-2024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45649</v>
      </c>
      <c r="E144" s="1" t="n">
        <v>46263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45103</v>
      </c>
      <c r="E145" s="1" t="n">
        <v>46263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45608</v>
      </c>
      <c r="E146" s="1" t="n">
        <v>46263</v>
      </c>
      <c r="F146" t="inlineStr">
        <is>
          <t>ÖREBRO LÄN</t>
        </is>
      </c>
      <c r="G146" t="inlineStr">
        <is>
          <t>LJUSNARSBERG</t>
        </is>
      </c>
      <c r="H146" t="inlineStr">
        <is>
          <t>Bergvik skog väst AB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44694</v>
      </c>
      <c r="E147" s="1" t="n">
        <v>46263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33976-2023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45124</v>
      </c>
      <c r="E148" s="1" t="n">
        <v>46263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19738-2026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46133</v>
      </c>
      <c r="E149" s="1" t="n">
        <v>46263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19936-2026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46263</v>
      </c>
      <c r="F150" t="inlineStr">
        <is>
          <t>ÖREBRO LÄN</t>
        </is>
      </c>
      <c r="G150" t="inlineStr">
        <is>
          <t>LJUSNARSBERG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19937-2026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46263</v>
      </c>
      <c r="F151" t="inlineStr">
        <is>
          <t>ÖREBRO LÄN</t>
        </is>
      </c>
      <c r="G151" t="inlineStr">
        <is>
          <t>LJUSNARSBERG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46263</v>
      </c>
      <c r="F152" t="inlineStr">
        <is>
          <t>ÖREBRO LÄN</t>
        </is>
      </c>
      <c r="G152" t="inlineStr">
        <is>
          <t>LJUSNARSBERG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33861-2022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44790</v>
      </c>
      <c r="E153" s="1" t="n">
        <v>46263</v>
      </c>
      <c r="F153" t="inlineStr">
        <is>
          <t>ÖREBRO LÄN</t>
        </is>
      </c>
      <c r="G153" t="inlineStr">
        <is>
          <t>LJUSNARSBERG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46263</v>
      </c>
      <c r="F154" t="inlineStr">
        <is>
          <t>ÖREBRO LÄN</t>
        </is>
      </c>
      <c r="G154" t="inlineStr">
        <is>
          <t>LJUSNARSBERG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57129-2021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46263</v>
      </c>
      <c r="F155" t="inlineStr">
        <is>
          <t>ÖREBRO LÄN</t>
        </is>
      </c>
      <c r="G155" t="inlineStr">
        <is>
          <t>LJUSNARSBERG</t>
        </is>
      </c>
      <c r="H155" t="inlineStr">
        <is>
          <t>Bergvik skog väst AB</t>
        </is>
      </c>
      <c r="I155" t="n">
        <v>17.8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12489-2023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44999</v>
      </c>
      <c r="E156" s="1" t="n">
        <v>46263</v>
      </c>
      <c r="F156" t="inlineStr">
        <is>
          <t>ÖREBRO LÄN</t>
        </is>
      </c>
      <c r="G156" t="inlineStr">
        <is>
          <t>LJUSNARSBERG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15114-2024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46263</v>
      </c>
      <c r="F157" t="inlineStr">
        <is>
          <t>ÖREBRO LÄN</t>
        </is>
      </c>
      <c r="G157" t="inlineStr">
        <is>
          <t>LJUSNARSBERG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46263</v>
      </c>
      <c r="F158" t="inlineStr">
        <is>
          <t>ÖREBRO LÄN</t>
        </is>
      </c>
      <c r="G158" t="inlineStr">
        <is>
          <t>LJUSNARSBERG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46146-2022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44847</v>
      </c>
      <c r="E159" s="1" t="n">
        <v>46263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46263</v>
      </c>
      <c r="F160" t="inlineStr">
        <is>
          <t>ÖREBRO LÄN</t>
        </is>
      </c>
      <c r="G160" t="inlineStr">
        <is>
          <t>LJUSNARSBERG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44607</v>
      </c>
      <c r="E161" s="1" t="n">
        <v>46263</v>
      </c>
      <c r="F161" t="inlineStr">
        <is>
          <t>ÖREBRO LÄN</t>
        </is>
      </c>
      <c r="G161" t="inlineStr">
        <is>
          <t>LJUSNARSBERG</t>
        </is>
      </c>
      <c r="H161" t="inlineStr">
        <is>
          <t>Kyrkan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62843-2021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46263</v>
      </c>
      <c r="F162" t="inlineStr">
        <is>
          <t>ÖREBRO LÄN</t>
        </is>
      </c>
      <c r="G162" t="inlineStr">
        <is>
          <t>LJUSNARSBERG</t>
        </is>
      </c>
      <c r="H162" t="inlineStr">
        <is>
          <t>Bergvik skog väst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42761-2023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45177</v>
      </c>
      <c r="E163" s="1" t="n">
        <v>46263</v>
      </c>
      <c r="F163" t="inlineStr">
        <is>
          <t>ÖREBRO LÄN</t>
        </is>
      </c>
      <c r="G163" t="inlineStr">
        <is>
          <t>LJUSNARSBERG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46263</v>
      </c>
      <c r="F164" t="inlineStr">
        <is>
          <t>ÖREBRO LÄN</t>
        </is>
      </c>
      <c r="G164" t="inlineStr">
        <is>
          <t>LJUSNARSBERG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36108-2024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46263</v>
      </c>
      <c r="F165" t="inlineStr">
        <is>
          <t>ÖREBRO LÄN</t>
        </is>
      </c>
      <c r="G165" t="inlineStr">
        <is>
          <t>LJUSNARSBERG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57090-2022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46263</v>
      </c>
      <c r="F166" t="inlineStr">
        <is>
          <t>ÖREBRO LÄN</t>
        </is>
      </c>
      <c r="G166" t="inlineStr">
        <is>
          <t>LJUSNARSBERG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45035</v>
      </c>
      <c r="E167" s="1" t="n">
        <v>46263</v>
      </c>
      <c r="F167" t="inlineStr">
        <is>
          <t>ÖREBRO LÄN</t>
        </is>
      </c>
      <c r="G167" t="inlineStr">
        <is>
          <t>LJUSNARSBERG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45145</v>
      </c>
      <c r="E168" s="1" t="n">
        <v>46263</v>
      </c>
      <c r="F168" t="inlineStr">
        <is>
          <t>ÖREBRO LÄN</t>
        </is>
      </c>
      <c r="G168" t="inlineStr">
        <is>
          <t>LJUSNARSBERG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46263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16613-2023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45030</v>
      </c>
      <c r="E170" s="1" t="n">
        <v>46263</v>
      </c>
      <c r="F170" t="inlineStr">
        <is>
          <t>ÖREBRO LÄN</t>
        </is>
      </c>
      <c r="G170" t="inlineStr">
        <is>
          <t>LJUSNARSBERG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46263</v>
      </c>
      <c r="F171" t="inlineStr">
        <is>
          <t>ÖREBRO LÄN</t>
        </is>
      </c>
      <c r="G171" t="inlineStr">
        <is>
          <t>LJUSNARSBERG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46263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29436-2023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45106</v>
      </c>
      <c r="E173" s="1" t="n">
        <v>46263</v>
      </c>
      <c r="F173" t="inlineStr">
        <is>
          <t>ÖREBRO LÄN</t>
        </is>
      </c>
      <c r="G173" t="inlineStr">
        <is>
          <t>LJUSNARSBERG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21186-2026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46146</v>
      </c>
      <c r="E174" s="1" t="n">
        <v>46263</v>
      </c>
      <c r="F174" t="inlineStr">
        <is>
          <t>ÖREBRO LÄN</t>
        </is>
      </c>
      <c r="G174" t="inlineStr">
        <is>
          <t>LJUSNARSBERG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21202-2026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46146</v>
      </c>
      <c r="E175" s="1" t="n">
        <v>46263</v>
      </c>
      <c r="F175" t="inlineStr">
        <is>
          <t>ÖREBRO LÄN</t>
        </is>
      </c>
      <c r="G175" t="inlineStr">
        <is>
          <t>LJUSNARSBERG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46263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18932-2022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44690</v>
      </c>
      <c r="E177" s="1" t="n">
        <v>46263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46263</v>
      </c>
      <c r="F178" t="inlineStr">
        <is>
          <t>ÖREBRO LÄN</t>
        </is>
      </c>
      <c r="G178" t="inlineStr">
        <is>
          <t>LJUSNARSBERG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22366-2026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46263</v>
      </c>
      <c r="F179" t="inlineStr">
        <is>
          <t>ÖREBRO LÄN</t>
        </is>
      </c>
      <c r="G179" t="inlineStr">
        <is>
          <t>LJUSNARSBERG</t>
        </is>
      </c>
      <c r="I179" t="n">
        <v>14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46263</v>
      </c>
      <c r="F180" t="inlineStr">
        <is>
          <t>ÖREBRO LÄN</t>
        </is>
      </c>
      <c r="G180" t="inlineStr">
        <is>
          <t>LJUSNARSBERG</t>
        </is>
      </c>
      <c r="H180" t="inlineStr">
        <is>
          <t>Kommuner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45614</v>
      </c>
      <c r="E181" s="1" t="n">
        <v>46263</v>
      </c>
      <c r="F181" t="inlineStr">
        <is>
          <t>ÖREBRO LÄN</t>
        </is>
      </c>
      <c r="G181" t="inlineStr">
        <is>
          <t>LJUSNARSBERG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59495-2024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45638</v>
      </c>
      <c r="E182" s="1" t="n">
        <v>46263</v>
      </c>
      <c r="F182" t="inlineStr">
        <is>
          <t>ÖREBRO LÄN</t>
        </is>
      </c>
      <c r="G182" t="inlineStr">
        <is>
          <t>LJUSNARSBERG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62810-2021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44503</v>
      </c>
      <c r="E183" s="1" t="n">
        <v>46263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46163</v>
      </c>
      <c r="E184" s="1" t="n">
        <v>46263</v>
      </c>
      <c r="F184" t="inlineStr">
        <is>
          <t>ÖREBRO LÄN</t>
        </is>
      </c>
      <c r="G184" t="inlineStr">
        <is>
          <t>LJUSNARSBERG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46167</v>
      </c>
      <c r="E185" s="1" t="n">
        <v>46263</v>
      </c>
      <c r="F185" t="inlineStr">
        <is>
          <t>ÖREBRO LÄN</t>
        </is>
      </c>
      <c r="G185" t="inlineStr">
        <is>
          <t>LJUSNARSBERG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24343-2026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46167</v>
      </c>
      <c r="E186" s="1" t="n">
        <v>46263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24350-2026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46167</v>
      </c>
      <c r="E187" s="1" t="n">
        <v>46263</v>
      </c>
      <c r="F187" t="inlineStr">
        <is>
          <t>ÖREBRO LÄN</t>
        </is>
      </c>
      <c r="G187" t="inlineStr">
        <is>
          <t>LJUSNARSBERG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24319-2026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46263</v>
      </c>
      <c r="F188" t="inlineStr">
        <is>
          <t>ÖREBRO LÄN</t>
        </is>
      </c>
      <c r="G188" t="inlineStr">
        <is>
          <t>LJUSNARSBERG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26379-2026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46263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26847-2026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46185</v>
      </c>
      <c r="E190" s="1" t="n">
        <v>46263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33245-2026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46263</v>
      </c>
      <c r="F191" t="inlineStr">
        <is>
          <t>ÖREBRO LÄN</t>
        </is>
      </c>
      <c r="G191" t="inlineStr">
        <is>
          <t>LJUSNARSBERG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33488-2026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46247</v>
      </c>
      <c r="E192" s="1" t="n">
        <v>46263</v>
      </c>
      <c r="F192" t="inlineStr">
        <is>
          <t>ÖREBRO LÄN</t>
        </is>
      </c>
      <c r="G192" t="inlineStr">
        <is>
          <t>LJUSNARSBERG</t>
        </is>
      </c>
      <c r="H192" t="inlineStr">
        <is>
          <t>Kyrkan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46263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48582-2025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45936</v>
      </c>
      <c r="E194" s="1" t="n">
        <v>46263</v>
      </c>
      <c r="F194" t="inlineStr">
        <is>
          <t>ÖREBRO LÄN</t>
        </is>
      </c>
      <c r="G194" t="inlineStr">
        <is>
          <t>LJUSNARSBERG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3541-2022</t>
        </is>
      </c>
      <c r="B195" t="inlineStr">
        <is>
          <t>samrådsanmälan</t>
        </is>
      </c>
      <c r="C195" t="inlineStr">
        <is>
          <t>Skogsbilväg</t>
        </is>
      </c>
      <c r="D195" s="1" t="n">
        <v>44734</v>
      </c>
      <c r="E195" s="1" t="n">
        <v>46263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10473-2021</t>
        </is>
      </c>
      <c r="B196" t="inlineStr">
        <is>
          <t>samrådsanmälan</t>
        </is>
      </c>
      <c r="C196" t="inlineStr">
        <is>
          <t>Skogsbilväg</t>
        </is>
      </c>
      <c r="D196" s="1" t="n">
        <v>44559</v>
      </c>
      <c r="E196" s="1" t="n">
        <v>46263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410-2022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44585</v>
      </c>
      <c r="E197" s="1" t="n">
        <v>46263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36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46263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880-2024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45376</v>
      </c>
      <c r="E199" s="1" t="n">
        <v>46263</v>
      </c>
      <c r="F199" t="inlineStr">
        <is>
          <t>ÖREBRO LÄN</t>
        </is>
      </c>
      <c r="G199" t="inlineStr">
        <is>
          <t>LJUSNARSBERG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3528-2023</t>
        </is>
      </c>
      <c r="B200" t="inlineStr">
        <is>
          <t>samrådsanmälan</t>
        </is>
      </c>
      <c r="C200" t="inlineStr">
        <is>
          <t>Annan skogsbruksåtgärd</t>
        </is>
      </c>
      <c r="D200" s="1" t="n">
        <v>45205</v>
      </c>
      <c r="E200" s="1" t="n">
        <v>46263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39.4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7278-2021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46263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4521-2023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45275</v>
      </c>
      <c r="E202" s="1" t="n">
        <v>46263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7277-2021</t>
        </is>
      </c>
      <c r="B203" t="inlineStr">
        <is>
          <t>samrådsanmälan</t>
        </is>
      </c>
      <c r="C203" t="inlineStr">
        <is>
          <t>Åtgärd i nyckelbiotop</t>
        </is>
      </c>
      <c r="D203" s="1" t="n">
        <v>44467</v>
      </c>
      <c r="E203" s="1" t="n">
        <v>46263</v>
      </c>
      <c r="F203" t="inlineStr">
        <is>
          <t>ÖREBRO LÄN</t>
        </is>
      </c>
      <c r="G203" t="inlineStr">
        <is>
          <t>LJUSNARSBERG</t>
        </is>
      </c>
      <c r="H203" t="inlineStr">
        <is>
          <t>Kommuner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2836-2023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45167</v>
      </c>
      <c r="E204" s="1" t="n">
        <v>46263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25.2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707-2025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45720</v>
      </c>
      <c r="E205" s="1" t="n">
        <v>46263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162.6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1972-2025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45832</v>
      </c>
      <c r="E206" s="1" t="n">
        <v>46263</v>
      </c>
      <c r="F206" t="inlineStr">
        <is>
          <t>ÖREBRO LÄN</t>
        </is>
      </c>
      <c r="G206" t="inlineStr">
        <is>
          <t>LJUSNARSBERG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3578-2025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46010</v>
      </c>
      <c r="E207" s="1" t="n">
        <v>46263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603-2026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46085</v>
      </c>
      <c r="E208" s="1" t="n">
        <v>46263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125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1743-2026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46185</v>
      </c>
      <c r="E209" s="1" t="n">
        <v>46263</v>
      </c>
      <c r="F209" t="inlineStr">
        <is>
          <t>ÖREBRO LÄN</t>
        </is>
      </c>
      <c r="G209" t="inlineStr">
        <is>
          <t>LJUSNARSBERG</t>
        </is>
      </c>
      <c r="H209" t="inlineStr">
        <is>
          <t>Bergvik skog väst AB</t>
        </is>
      </c>
      <c r="I209" t="n">
        <v>16.8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>
      <c r="A210" t="inlineStr">
        <is>
          <t>S 1624-2026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46174</v>
      </c>
      <c r="E210" s="1" t="n">
        <v>46263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2026-08-29T01:54:39Z</dcterms:created>
  <dcterms:modified xmlns:dcterms="http://purl.org/dc/terms/" xmlns:xsi="http://www.w3.org/2001/XMLSchema-instance" xsi:type="dcterms:W3CDTF">2026-08-29T01:54:39Z</dcterms:modified>
</cp:coreProperties>
</file>