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46295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46295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46295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46295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46295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46295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46295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46295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46295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46295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46295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46295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46295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46295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46295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46295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46295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24374-2026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46295</v>
      </c>
      <c r="F19" t="inlineStr">
        <is>
          <t>ÖREBRO LÄN</t>
        </is>
      </c>
      <c r="G19" t="inlineStr">
        <is>
          <t>LJUSNARSBERG</t>
        </is>
      </c>
      <c r="I19" t="n">
        <v>2.4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Vågbandad barkbock
Fläcknycklar</t>
        </is>
      </c>
      <c r="W19">
        <f>HYPERLINK("https://klasma.github.io/Logging_1864/artfynd/A 24374-2026 artfynd.xlsx", "A 24374-2026")</f>
        <v/>
      </c>
      <c r="X19">
        <f>HYPERLINK("https://klasma.github.io/Logging_1864/kartor/A 24374-2026 karta.png", "A 24374-2026")</f>
        <v/>
      </c>
      <c r="Y19">
        <f>HYPERLINK("https://klasma.github.io/Logging_1864/kartor_geotiff/A 24374-2026 georefererad karta.tif", "A 24374-2026")</f>
        <v/>
      </c>
      <c r="AA19">
        <f>HYPERLINK("https://klasma.github.io/Logging_1864/klagomål/A 24374-2026 FSC-klagomål.docx", "A 24374-2026")</f>
        <v/>
      </c>
      <c r="AB19">
        <f>HYPERLINK("https://klasma.github.io/Logging_1864/klagomålsmail/A 24374-2026 FSC-klagomål mail.docx", "A 24374-2026")</f>
        <v/>
      </c>
      <c r="AC19">
        <f>HYPERLINK("https://klasma.github.io/Logging_1864/tillsyn/A 24374-2026 tillsynsbegäran.docx", "A 24374-2026")</f>
        <v/>
      </c>
      <c r="AD19">
        <f>HYPERLINK("https://klasma.github.io/Logging_1864/tillsynsmail/A 24374-2026 tillsynsbegäran mail.docx", "A 24374-2026")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46295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46295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46295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46295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46295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46295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46295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46295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46295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46295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46295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46295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46295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46295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46295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46295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46295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46295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46295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46295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46295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46295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46295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46295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48353-2022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46295</v>
      </c>
      <c r="F44" t="inlineStr">
        <is>
          <t>ÖREBRO LÄN</t>
        </is>
      </c>
      <c r="G44" t="inlineStr">
        <is>
          <t>LJUSNARSBERG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13803-2024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46295</v>
      </c>
      <c r="F45" t="inlineStr">
        <is>
          <t>ÖREBRO LÄN</t>
        </is>
      </c>
      <c r="G45" t="inlineStr">
        <is>
          <t>LJUSNARSBERG</t>
        </is>
      </c>
      <c r="H45" t="inlineStr">
        <is>
          <t>Bergvik skog väst AB</t>
        </is>
      </c>
      <c r="I45" t="n">
        <v>17.8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46295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34926-2023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45142</v>
      </c>
      <c r="E47" s="1" t="n">
        <v>46295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46295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44780-2024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45574</v>
      </c>
      <c r="E49" s="1" t="n">
        <v>46295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4989-2023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44956</v>
      </c>
      <c r="E50" s="1" t="n">
        <v>46295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46295</v>
      </c>
      <c r="F51" t="inlineStr">
        <is>
          <t>ÖREBRO LÄN</t>
        </is>
      </c>
      <c r="G51" t="inlineStr">
        <is>
          <t>LJUSNARSBERG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46295</v>
      </c>
      <c r="F52" t="inlineStr">
        <is>
          <t>ÖREBRO LÄN</t>
        </is>
      </c>
      <c r="G52" t="inlineStr">
        <is>
          <t>LJUSNARSBERG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17924-2024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46295</v>
      </c>
      <c r="F53" t="inlineStr">
        <is>
          <t>ÖREBRO LÄN</t>
        </is>
      </c>
      <c r="G53" t="inlineStr">
        <is>
          <t>LJUSNARSBERG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46295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45124</v>
      </c>
      <c r="E55" s="1" t="n">
        <v>46295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45106</v>
      </c>
      <c r="E56" s="1" t="n">
        <v>46295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7499-2024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45347</v>
      </c>
      <c r="E57" s="1" t="n">
        <v>46295</v>
      </c>
      <c r="F57" t="inlineStr">
        <is>
          <t>ÖREBRO LÄN</t>
        </is>
      </c>
      <c r="G57" t="inlineStr">
        <is>
          <t>LJUSNARSBERG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46295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46295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46295</v>
      </c>
      <c r="F60" t="inlineStr">
        <is>
          <t>ÖREBRO LÄN</t>
        </is>
      </c>
      <c r="G60" t="inlineStr">
        <is>
          <t>LJUSNARSBERG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46295</v>
      </c>
      <c r="F61" t="inlineStr">
        <is>
          <t>ÖREBRO LÄN</t>
        </is>
      </c>
      <c r="G61" t="inlineStr">
        <is>
          <t>LJUSNARSBERG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46295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46295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46295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46295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46295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46295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46295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46295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46295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42287-2025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45903</v>
      </c>
      <c r="E71" s="1" t="n">
        <v>46295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10.3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45807</v>
      </c>
      <c r="E72" s="1" t="n">
        <v>46295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59497-2024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45638</v>
      </c>
      <c r="E73" s="1" t="n">
        <v>46295</v>
      </c>
      <c r="F73" t="inlineStr">
        <is>
          <t>ÖREBRO LÄN</t>
        </is>
      </c>
      <c r="G73" t="inlineStr">
        <is>
          <t>LJUSNARSBERG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22887-2024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45448</v>
      </c>
      <c r="E74" s="1" t="n">
        <v>46295</v>
      </c>
      <c r="F74" t="inlineStr">
        <is>
          <t>ÖREBRO LÄN</t>
        </is>
      </c>
      <c r="G74" t="inlineStr">
        <is>
          <t>LJUSNARSBERG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20673-2025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45776</v>
      </c>
      <c r="E75" s="1" t="n">
        <v>46295</v>
      </c>
      <c r="F75" t="inlineStr">
        <is>
          <t>ÖREBRO LÄN</t>
        </is>
      </c>
      <c r="G75" t="inlineStr">
        <is>
          <t>LJUSNARSBERG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45909</v>
      </c>
      <c r="E76" s="1" t="n">
        <v>46295</v>
      </c>
      <c r="F76" t="inlineStr">
        <is>
          <t>ÖREBRO LÄN</t>
        </is>
      </c>
      <c r="G76" t="inlineStr">
        <is>
          <t>LJUSNARSBERG</t>
        </is>
      </c>
      <c r="I76" t="n">
        <v>17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12482-2023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44999</v>
      </c>
      <c r="E77" s="1" t="n">
        <v>46295</v>
      </c>
      <c r="F77" t="inlineStr">
        <is>
          <t>ÖREBRO LÄN</t>
        </is>
      </c>
      <c r="G77" t="inlineStr">
        <is>
          <t>LJUSNARSBERG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45155</v>
      </c>
      <c r="E78" s="1" t="n">
        <v>46295</v>
      </c>
      <c r="F78" t="inlineStr">
        <is>
          <t>ÖREBRO LÄN</t>
        </is>
      </c>
      <c r="G78" t="inlineStr">
        <is>
          <t>LJUSNARSBERG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46295</v>
      </c>
      <c r="F79" t="inlineStr">
        <is>
          <t>ÖREBRO LÄN</t>
        </is>
      </c>
      <c r="G79" t="inlineStr">
        <is>
          <t>LJUSNARSBERG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46295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45826</v>
      </c>
      <c r="E81" s="1" t="n">
        <v>46295</v>
      </c>
      <c r="F81" t="inlineStr">
        <is>
          <t>ÖREBRO LÄN</t>
        </is>
      </c>
      <c r="G81" t="inlineStr">
        <is>
          <t>LJUSNARSBERG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45538-2024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45578</v>
      </c>
      <c r="E82" s="1" t="n">
        <v>46295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46295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46295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45827</v>
      </c>
      <c r="E85" s="1" t="n">
        <v>46295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45574</v>
      </c>
      <c r="E86" s="1" t="n">
        <v>46295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45925</v>
      </c>
      <c r="E87" s="1" t="n">
        <v>46295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46295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33622-2025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45841</v>
      </c>
      <c r="E89" s="1" t="n">
        <v>46295</v>
      </c>
      <c r="F89" t="inlineStr">
        <is>
          <t>ÖREBRO LÄN</t>
        </is>
      </c>
      <c r="G89" t="inlineStr">
        <is>
          <t>LJUSNARSBERG</t>
        </is>
      </c>
      <c r="H89" t="inlineStr">
        <is>
          <t>Kyrkan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46295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8.199999999999999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46295</v>
      </c>
      <c r="F91" t="inlineStr">
        <is>
          <t>ÖREBRO LÄN</t>
        </is>
      </c>
      <c r="G91" t="inlineStr">
        <is>
          <t>LJUSNARSBERG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46295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46295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46295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46295</v>
      </c>
      <c r="F95" t="inlineStr">
        <is>
          <t>ÖREBRO LÄN</t>
        </is>
      </c>
      <c r="G95" t="inlineStr">
        <is>
          <t>LJUSNARSBERG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45934</v>
      </c>
      <c r="E96" s="1" t="n">
        <v>46295</v>
      </c>
      <c r="F96" t="inlineStr">
        <is>
          <t>ÖREBRO LÄN</t>
        </is>
      </c>
      <c r="G96" t="inlineStr">
        <is>
          <t>LJUSNARSBERG</t>
        </is>
      </c>
      <c r="H96" t="inlineStr">
        <is>
          <t>Bergvik skog väst AB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46805-2024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46295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50865-2025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45946</v>
      </c>
      <c r="E98" s="1" t="n">
        <v>46295</v>
      </c>
      <c r="F98" t="inlineStr">
        <is>
          <t>ÖREBRO LÄN</t>
        </is>
      </c>
      <c r="G98" t="inlineStr">
        <is>
          <t>LJUSNARSBERG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46295</v>
      </c>
      <c r="F99" t="inlineStr">
        <is>
          <t>ÖREBRO LÄN</t>
        </is>
      </c>
      <c r="G99" t="inlineStr">
        <is>
          <t>LJUSNARSBERG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45659</v>
      </c>
      <c r="E100" s="1" t="n">
        <v>46295</v>
      </c>
      <c r="F100" t="inlineStr">
        <is>
          <t>ÖREBRO LÄN</t>
        </is>
      </c>
      <c r="G100" t="inlineStr">
        <is>
          <t>LJUSNARSBERG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25574-2023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45089</v>
      </c>
      <c r="E101" s="1" t="n">
        <v>46295</v>
      </c>
      <c r="F101" t="inlineStr">
        <is>
          <t>ÖREBRO LÄN</t>
        </is>
      </c>
      <c r="G101" t="inlineStr">
        <is>
          <t>LJUSNARSBERG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45638</v>
      </c>
      <c r="E102" s="1" t="n">
        <v>46295</v>
      </c>
      <c r="F102" t="inlineStr">
        <is>
          <t>ÖREBRO LÄN</t>
        </is>
      </c>
      <c r="G102" t="inlineStr">
        <is>
          <t>LJUSNARSBERG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45085</v>
      </c>
      <c r="E103" s="1" t="n">
        <v>46295</v>
      </c>
      <c r="F103" t="inlineStr">
        <is>
          <t>ÖREBRO LÄN</t>
        </is>
      </c>
      <c r="G103" t="inlineStr">
        <is>
          <t>LJUSNARSBERG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45951</v>
      </c>
      <c r="E104" s="1" t="n">
        <v>46295</v>
      </c>
      <c r="F104" t="inlineStr">
        <is>
          <t>ÖREBRO LÄN</t>
        </is>
      </c>
      <c r="G104" t="inlineStr">
        <is>
          <t>LJUSNARSBERG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18938-2022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44690</v>
      </c>
      <c r="E105" s="1" t="n">
        <v>46295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44739</v>
      </c>
      <c r="E106" s="1" t="n">
        <v>46295</v>
      </c>
      <c r="F106" t="inlineStr">
        <is>
          <t>ÖREBRO LÄN</t>
        </is>
      </c>
      <c r="G106" t="inlineStr">
        <is>
          <t>LJUSNARSBERG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46295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46295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46295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45638</v>
      </c>
      <c r="E110" s="1" t="n">
        <v>46295</v>
      </c>
      <c r="F110" t="inlineStr">
        <is>
          <t>ÖREBRO LÄN</t>
        </is>
      </c>
      <c r="G110" t="inlineStr">
        <is>
          <t>LJUSNARSBERG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44720</v>
      </c>
      <c r="E111" s="1" t="n">
        <v>46295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46295</v>
      </c>
      <c r="F112" t="inlineStr">
        <is>
          <t>ÖREBRO LÄN</t>
        </is>
      </c>
      <c r="G112" t="inlineStr">
        <is>
          <t>LJUSNARSBERG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23372-2022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44720</v>
      </c>
      <c r="E113" s="1" t="n">
        <v>46295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44734</v>
      </c>
      <c r="E114" s="1" t="n">
        <v>46295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46295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44565</v>
      </c>
      <c r="E116" s="1" t="n">
        <v>46295</v>
      </c>
      <c r="F116" t="inlineStr">
        <is>
          <t>ÖREBRO LÄN</t>
        </is>
      </c>
      <c r="G116" t="inlineStr">
        <is>
          <t>LJUSNARSBERG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52489-2022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44874</v>
      </c>
      <c r="E117" s="1" t="n">
        <v>46295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45111</v>
      </c>
      <c r="E118" s="1" t="n">
        <v>46295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12.8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46295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25098-2023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45086</v>
      </c>
      <c r="E120" s="1" t="n">
        <v>46295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19738-2026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46133</v>
      </c>
      <c r="E121" s="1" t="n">
        <v>46295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19936-2026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46136</v>
      </c>
      <c r="E122" s="1" t="n">
        <v>46295</v>
      </c>
      <c r="F122" t="inlineStr">
        <is>
          <t>ÖREBRO LÄN</t>
        </is>
      </c>
      <c r="G122" t="inlineStr">
        <is>
          <t>LJUSNARSBERG</t>
        </is>
      </c>
      <c r="H122" t="inlineStr">
        <is>
          <t>Sveaskog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45394</v>
      </c>
      <c r="E123" s="1" t="n">
        <v>46295</v>
      </c>
      <c r="F123" t="inlineStr">
        <is>
          <t>ÖREBRO LÄN</t>
        </is>
      </c>
      <c r="G123" t="inlineStr">
        <is>
          <t>LJUSNARSBERG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46295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67746-2021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46295</v>
      </c>
      <c r="F125" t="inlineStr">
        <is>
          <t>ÖREBRO LÄN</t>
        </is>
      </c>
      <c r="G125" t="inlineStr">
        <is>
          <t>LJUSNARSBERG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27343-2025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46295</v>
      </c>
      <c r="F126" t="inlineStr">
        <is>
          <t>ÖREBRO LÄN</t>
        </is>
      </c>
      <c r="G126" t="inlineStr">
        <is>
          <t>LJUSNARSBERG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45581</v>
      </c>
      <c r="E127" s="1" t="n">
        <v>46295</v>
      </c>
      <c r="F127" t="inlineStr">
        <is>
          <t>ÖREBRO LÄN</t>
        </is>
      </c>
      <c r="G127" t="inlineStr">
        <is>
          <t>LJUSNARSBERG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45533</v>
      </c>
      <c r="E128" s="1" t="n">
        <v>46295</v>
      </c>
      <c r="F128" t="inlineStr">
        <is>
          <t>ÖREBRO LÄN</t>
        </is>
      </c>
      <c r="G128" t="inlineStr">
        <is>
          <t>LJUSNARSBERG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46082-2024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45581</v>
      </c>
      <c r="E129" s="1" t="n">
        <v>46295</v>
      </c>
      <c r="F129" t="inlineStr">
        <is>
          <t>ÖREBRO LÄN</t>
        </is>
      </c>
      <c r="G129" t="inlineStr">
        <is>
          <t>LJUSNARSBERG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44564</v>
      </c>
      <c r="E130" s="1" t="n">
        <v>46295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46295</v>
      </c>
      <c r="F131" t="inlineStr">
        <is>
          <t>ÖREBRO LÄN</t>
        </is>
      </c>
      <c r="G131" t="inlineStr">
        <is>
          <t>LJUSNARSBERG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46295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45463</v>
      </c>
      <c r="E133" s="1" t="n">
        <v>46295</v>
      </c>
      <c r="F133" t="inlineStr">
        <is>
          <t>ÖREBRO LÄN</t>
        </is>
      </c>
      <c r="G133" t="inlineStr">
        <is>
          <t>LJUSNARSBERG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46295</v>
      </c>
      <c r="F134" t="inlineStr">
        <is>
          <t>ÖREBRO LÄN</t>
        </is>
      </c>
      <c r="G134" t="inlineStr">
        <is>
          <t>LJUSNARSBERG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21202-2026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46146</v>
      </c>
      <c r="E135" s="1" t="n">
        <v>46295</v>
      </c>
      <c r="F135" t="inlineStr">
        <is>
          <t>ÖREBRO LÄN</t>
        </is>
      </c>
      <c r="G135" t="inlineStr">
        <is>
          <t>LJUSNARSBERG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47017-2025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46295</v>
      </c>
      <c r="F136" t="inlineStr">
        <is>
          <t>ÖREBRO LÄN</t>
        </is>
      </c>
      <c r="G136" t="inlineStr">
        <is>
          <t>LJUSNARSBERG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22366-2026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46295</v>
      </c>
      <c r="F137" t="inlineStr">
        <is>
          <t>ÖREBRO LÄN</t>
        </is>
      </c>
      <c r="G137" t="inlineStr">
        <is>
          <t>LJUSNARSBERG</t>
        </is>
      </c>
      <c r="I137" t="n">
        <v>14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50524-2023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46295</v>
      </c>
      <c r="F138" t="inlineStr">
        <is>
          <t>ÖREBRO LÄN</t>
        </is>
      </c>
      <c r="G138" t="inlineStr">
        <is>
          <t>LJUSNARSBERG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45839</v>
      </c>
      <c r="E139" s="1" t="n">
        <v>46295</v>
      </c>
      <c r="F139" t="inlineStr">
        <is>
          <t>ÖREBRO LÄN</t>
        </is>
      </c>
      <c r="G139" t="inlineStr">
        <is>
          <t>LJUSNARSBERG</t>
        </is>
      </c>
      <c r="H139" t="inlineStr">
        <is>
          <t>Kommuner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45649</v>
      </c>
      <c r="E140" s="1" t="n">
        <v>46295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46295</v>
      </c>
      <c r="F141" t="inlineStr">
        <is>
          <t>ÖREBRO LÄN</t>
        </is>
      </c>
      <c r="G141" t="inlineStr">
        <is>
          <t>LJUSNARSBERG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46295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46295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44694</v>
      </c>
      <c r="E144" s="1" t="n">
        <v>46295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45124</v>
      </c>
      <c r="E145" s="1" t="n">
        <v>46295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46163</v>
      </c>
      <c r="E146" s="1" t="n">
        <v>46295</v>
      </c>
      <c r="F146" t="inlineStr">
        <is>
          <t>ÖREBRO LÄN</t>
        </is>
      </c>
      <c r="G146" t="inlineStr">
        <is>
          <t>LJUSNARSBERG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46167</v>
      </c>
      <c r="E147" s="1" t="n">
        <v>46295</v>
      </c>
      <c r="F147" t="inlineStr">
        <is>
          <t>ÖREBRO LÄN</t>
        </is>
      </c>
      <c r="G147" t="inlineStr">
        <is>
          <t>LJUSNARSBERG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46167</v>
      </c>
      <c r="E148" s="1" t="n">
        <v>46295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46295</v>
      </c>
      <c r="F149" t="inlineStr">
        <is>
          <t>ÖREBRO LÄN</t>
        </is>
      </c>
      <c r="G149" t="inlineStr">
        <is>
          <t>LJUSNARSBERG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45239</v>
      </c>
      <c r="E150" s="1" t="n">
        <v>46295</v>
      </c>
      <c r="F150" t="inlineStr">
        <is>
          <t>ÖREBRO LÄN</t>
        </is>
      </c>
      <c r="G150" t="inlineStr">
        <is>
          <t>LJUSNARSBERG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46295</v>
      </c>
      <c r="F151" t="inlineStr">
        <is>
          <t>ÖREBRO LÄN</t>
        </is>
      </c>
      <c r="G151" t="inlineStr">
        <is>
          <t>LJUSNARSBERG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45155</v>
      </c>
      <c r="E152" s="1" t="n">
        <v>46295</v>
      </c>
      <c r="F152" t="inlineStr">
        <is>
          <t>ÖREBRO LÄN</t>
        </is>
      </c>
      <c r="G152" t="inlineStr">
        <is>
          <t>LJUSNARSBERG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46295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26379-2026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46295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26847-2026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46185</v>
      </c>
      <c r="E155" s="1" t="n">
        <v>46295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44999</v>
      </c>
      <c r="E156" s="1" t="n">
        <v>46295</v>
      </c>
      <c r="F156" t="inlineStr">
        <is>
          <t>ÖREBRO LÄN</t>
        </is>
      </c>
      <c r="G156" t="inlineStr">
        <is>
          <t>LJUSNARSBERG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46295</v>
      </c>
      <c r="F157" t="inlineStr">
        <is>
          <t>ÖREBRO LÄN</t>
        </is>
      </c>
      <c r="G157" t="inlineStr">
        <is>
          <t>LJUSNARSBERG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44847</v>
      </c>
      <c r="E158" s="1" t="n">
        <v>46295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44607</v>
      </c>
      <c r="E159" s="1" t="n">
        <v>46295</v>
      </c>
      <c r="F159" t="inlineStr">
        <is>
          <t>ÖREBRO LÄN</t>
        </is>
      </c>
      <c r="G159" t="inlineStr">
        <is>
          <t>LJUSNARSBERG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62843-2021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46295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45177</v>
      </c>
      <c r="E161" s="1" t="n">
        <v>46295</v>
      </c>
      <c r="F161" t="inlineStr">
        <is>
          <t>ÖREBRO LÄN</t>
        </is>
      </c>
      <c r="G161" t="inlineStr">
        <is>
          <t>LJUSNARSBERG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61580-2023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45265</v>
      </c>
      <c r="E162" s="1" t="n">
        <v>46295</v>
      </c>
      <c r="F162" t="inlineStr">
        <is>
          <t>ÖREBRO LÄN</t>
        </is>
      </c>
      <c r="G162" t="inlineStr">
        <is>
          <t>LJUSNARSBERG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44895</v>
      </c>
      <c r="E163" s="1" t="n">
        <v>46295</v>
      </c>
      <c r="F163" t="inlineStr">
        <is>
          <t>ÖREBRO LÄN</t>
        </is>
      </c>
      <c r="G163" t="inlineStr">
        <is>
          <t>LJUSNARSBERG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46295</v>
      </c>
      <c r="F164" t="inlineStr">
        <is>
          <t>ÖREBRO LÄN</t>
        </is>
      </c>
      <c r="G164" t="inlineStr">
        <is>
          <t>LJUSNARSBERG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45145</v>
      </c>
      <c r="E165" s="1" t="n">
        <v>46295</v>
      </c>
      <c r="F165" t="inlineStr">
        <is>
          <t>ÖREBRO LÄN</t>
        </is>
      </c>
      <c r="G165" t="inlineStr">
        <is>
          <t>LJUSNARSBERG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62421-2022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44916</v>
      </c>
      <c r="E166" s="1" t="n">
        <v>46295</v>
      </c>
      <c r="F166" t="inlineStr">
        <is>
          <t>ÖREBRO LÄN</t>
        </is>
      </c>
      <c r="G166" t="inlineStr">
        <is>
          <t>LJUSNARSBERG</t>
        </is>
      </c>
      <c r="H166" t="inlineStr">
        <is>
          <t>Bergvik skog väst AB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45030</v>
      </c>
      <c r="E167" s="1" t="n">
        <v>46295</v>
      </c>
      <c r="F167" t="inlineStr">
        <is>
          <t>ÖREBRO LÄN</t>
        </is>
      </c>
      <c r="G167" t="inlineStr">
        <is>
          <t>LJUSNARSBERG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46295</v>
      </c>
      <c r="F168" t="inlineStr">
        <is>
          <t>ÖREBRO LÄN</t>
        </is>
      </c>
      <c r="G168" t="inlineStr">
        <is>
          <t>LJUSNARSBERG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36771-2026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46272</v>
      </c>
      <c r="E169" s="1" t="n">
        <v>46295</v>
      </c>
      <c r="F169" t="inlineStr">
        <is>
          <t>ÖREBRO LÄN</t>
        </is>
      </c>
      <c r="G169" t="inlineStr">
        <is>
          <t>LJUSNARSBERG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46295</v>
      </c>
      <c r="F170" t="inlineStr">
        <is>
          <t>ÖREBRO LÄN</t>
        </is>
      </c>
      <c r="G170" t="inlineStr">
        <is>
          <t>LJUSNARSBERG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46295</v>
      </c>
      <c r="F171" t="inlineStr">
        <is>
          <t>ÖREBRO LÄN</t>
        </is>
      </c>
      <c r="G171" t="inlineStr">
        <is>
          <t>LJUSNARSBERG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46275</v>
      </c>
      <c r="E172" s="1" t="n">
        <v>46295</v>
      </c>
      <c r="F172" t="inlineStr">
        <is>
          <t>ÖREBRO LÄN</t>
        </is>
      </c>
      <c r="G172" t="inlineStr">
        <is>
          <t>LJUSNARSBERG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45578</v>
      </c>
      <c r="E173" s="1" t="n">
        <v>46295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37866-2026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46279</v>
      </c>
      <c r="E174" s="1" t="n">
        <v>46295</v>
      </c>
      <c r="F174" t="inlineStr">
        <is>
          <t>ÖREBRO LÄN</t>
        </is>
      </c>
      <c r="G174" t="inlineStr">
        <is>
          <t>LJUSNARSBERG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38378-2026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46282</v>
      </c>
      <c r="E175" s="1" t="n">
        <v>46295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46281</v>
      </c>
      <c r="E176" s="1" t="n">
        <v>46295</v>
      </c>
      <c r="F176" t="inlineStr">
        <is>
          <t>ÖREBRO LÄN</t>
        </is>
      </c>
      <c r="G176" t="inlineStr">
        <is>
          <t>LJUSNARSBERG</t>
        </is>
      </c>
      <c r="H176" t="inlineStr">
        <is>
          <t>Kyrkan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45106</v>
      </c>
      <c r="E177" s="1" t="n">
        <v>46295</v>
      </c>
      <c r="F177" t="inlineStr">
        <is>
          <t>ÖREBRO LÄN</t>
        </is>
      </c>
      <c r="G177" t="inlineStr">
        <is>
          <t>LJUSNARSBERG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46295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44690</v>
      </c>
      <c r="E179" s="1" t="n">
        <v>46295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59495-2024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45638</v>
      </c>
      <c r="E180" s="1" t="n">
        <v>46295</v>
      </c>
      <c r="F180" t="inlineStr">
        <is>
          <t>ÖREBRO LÄN</t>
        </is>
      </c>
      <c r="G180" t="inlineStr">
        <is>
          <t>LJUSNARSBERG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62810-2021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44503</v>
      </c>
      <c r="E181" s="1" t="n">
        <v>46295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46295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33245-2026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46295</v>
      </c>
      <c r="F183" t="inlineStr">
        <is>
          <t>ÖREBRO LÄN</t>
        </is>
      </c>
      <c r="G183" t="inlineStr">
        <is>
          <t>LJUSNARSBERG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33488-2026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46247</v>
      </c>
      <c r="E184" s="1" t="n">
        <v>46295</v>
      </c>
      <c r="F184" t="inlineStr">
        <is>
          <t>ÖREBRO LÄN</t>
        </is>
      </c>
      <c r="G184" t="inlineStr">
        <is>
          <t>LJUSNARSBERG</t>
        </is>
      </c>
      <c r="H184" t="inlineStr">
        <is>
          <t>Kyrkan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46290</v>
      </c>
      <c r="E185" s="1" t="n">
        <v>46295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46295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46295</v>
      </c>
      <c r="F187" t="inlineStr">
        <is>
          <t>ÖREBRO LÄN</t>
        </is>
      </c>
      <c r="G187" t="inlineStr">
        <is>
          <t>LJUSNARSBERG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46295</v>
      </c>
      <c r="F188" t="inlineStr">
        <is>
          <t>ÖREBRO LÄN</t>
        </is>
      </c>
      <c r="G188" t="inlineStr">
        <is>
          <t>LJUSNARSBERG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45593</v>
      </c>
      <c r="E189" s="1" t="n">
        <v>46295</v>
      </c>
      <c r="F189" t="inlineStr">
        <is>
          <t>ÖREBRO LÄN</t>
        </is>
      </c>
      <c r="G189" t="inlineStr">
        <is>
          <t>LJUSNARSBERG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46295</v>
      </c>
      <c r="F190" t="inlineStr">
        <is>
          <t>ÖREBRO LÄN</t>
        </is>
      </c>
      <c r="G190" t="inlineStr">
        <is>
          <t>LJUSNARSBERG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46295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3541-2022</t>
        </is>
      </c>
      <c r="B192" t="inlineStr">
        <is>
          <t>samrådsanmälan</t>
        </is>
      </c>
      <c r="C192" t="inlineStr">
        <is>
          <t>Skogsbilväg</t>
        </is>
      </c>
      <c r="D192" s="1" t="n">
        <v>44734</v>
      </c>
      <c r="E192" s="1" t="n">
        <v>46295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10473-2021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44559</v>
      </c>
      <c r="E193" s="1" t="n">
        <v>46295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410-2022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44585</v>
      </c>
      <c r="E194" s="1" t="n">
        <v>46295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36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1099-2022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44615</v>
      </c>
      <c r="E195" s="1" t="n">
        <v>46295</v>
      </c>
      <c r="F195" t="inlineStr">
        <is>
          <t>ÖREBRO LÄN</t>
        </is>
      </c>
      <c r="G195" t="inlineStr">
        <is>
          <t>LJUSNARSBERG</t>
        </is>
      </c>
      <c r="H195" t="inlineStr">
        <is>
          <t>Sveaskog</t>
        </is>
      </c>
      <c r="I195" t="n">
        <v>147.4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880-2024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45376</v>
      </c>
      <c r="E196" s="1" t="n">
        <v>46295</v>
      </c>
      <c r="F196" t="inlineStr">
        <is>
          <t>ÖREBRO LÄN</t>
        </is>
      </c>
      <c r="G196" t="inlineStr">
        <is>
          <t>LJUSNARSBERG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3528-2023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45205</v>
      </c>
      <c r="E197" s="1" t="n">
        <v>46295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4521-2023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45275</v>
      </c>
      <c r="E198" s="1" t="n">
        <v>46295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20.7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46295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46295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46295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46295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46295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46295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46295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2026-09-30T01:59:55Z</dcterms:created>
  <dcterms:modified xmlns:dcterms="http://purl.org/dc/terms/" xmlns:xsi="http://www.w3.org/2001/XMLSchema-instance" xsi:type="dcterms:W3CDTF">2026-09-30T01:59:56Z</dcterms:modified>
</cp:coreProperties>
</file>