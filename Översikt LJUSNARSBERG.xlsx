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46302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46302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46302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46302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46302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46302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46302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46302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46302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46302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46302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46302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46302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46302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49157-2023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46302</v>
      </c>
      <c r="F16" t="inlineStr">
        <is>
          <t>ÖREBRO LÄN</t>
        </is>
      </c>
      <c r="G16" t="inlineStr">
        <is>
          <t>LJUSNARSBERG</t>
        </is>
      </c>
      <c r="I16" t="n">
        <v>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Rödgul trumpetsvamp
Skogshakmossa</t>
        </is>
      </c>
      <c r="W16">
        <f>HYPERLINK("https://klasma.github.io/Logging_1864/artfynd/A 49157-2023 artfynd.xlsx", "A 49157-2023")</f>
        <v/>
      </c>
      <c r="X16">
        <f>HYPERLINK("https://klasma.github.io/Logging_1864/kartor/A 49157-2023 karta.png", "A 49157-2023")</f>
        <v/>
      </c>
      <c r="Y16">
        <f>HYPERLINK("https://klasma.github.io/Logging_1864/kartor_geotiff/A 49157-2023 georefererad karta.tif", "A 49157-2023")</f>
        <v/>
      </c>
      <c r="AA16">
        <f>HYPERLINK("https://klasma.github.io/Logging_1864/klagomål/A 49157-2023 FSC-klagomål.docx", "A 49157-2023")</f>
        <v/>
      </c>
      <c r="AB16">
        <f>HYPERLINK("https://klasma.github.io/Logging_1864/klagomålsmail/A 49157-2023 FSC-klagomål mail.docx", "A 49157-2023")</f>
        <v/>
      </c>
      <c r="AC16">
        <f>HYPERLINK("https://klasma.github.io/Logging_1864/tillsyn/A 49157-2023 tillsynsbegäran.docx", "A 49157-2023")</f>
        <v/>
      </c>
      <c r="AD16">
        <f>HYPERLINK("https://klasma.github.io/Logging_1864/tillsynsmail/A 49157-2023 tillsynsbegäran mail.docx", "A 49157-2023")</f>
        <v/>
      </c>
    </row>
    <row r="17" ht="15" customHeight="1">
      <c r="A17" t="inlineStr">
        <is>
          <t>A 24374-2026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46302</v>
      </c>
      <c r="F17" t="inlineStr">
        <is>
          <t>ÖREBRO LÄN</t>
        </is>
      </c>
      <c r="G17" t="inlineStr">
        <is>
          <t>LJUSNARSBERG</t>
        </is>
      </c>
      <c r="I17" t="n">
        <v>2.4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Vågbandad barkbock
Fläcknycklar</t>
        </is>
      </c>
      <c r="W17">
        <f>HYPERLINK("https://klasma.github.io/Logging_1864/artfynd/A 24374-2026 artfynd.xlsx", "A 24374-2026")</f>
        <v/>
      </c>
      <c r="X17">
        <f>HYPERLINK("https://klasma.github.io/Logging_1864/kartor/A 24374-2026 karta.png", "A 24374-2026")</f>
        <v/>
      </c>
      <c r="Y17">
        <f>HYPERLINK("https://klasma.github.io/Logging_1864/kartor_geotiff/A 24374-2026 georefererad karta.tif", "A 24374-2026")</f>
        <v/>
      </c>
      <c r="AA17">
        <f>HYPERLINK("https://klasma.github.io/Logging_1864/klagomål/A 24374-2026 FSC-klagomål.docx", "A 24374-2026")</f>
        <v/>
      </c>
      <c r="AB17">
        <f>HYPERLINK("https://klasma.github.io/Logging_1864/klagomålsmail/A 24374-2026 FSC-klagomål mail.docx", "A 24374-2026")</f>
        <v/>
      </c>
      <c r="AC17">
        <f>HYPERLINK("https://klasma.github.io/Logging_1864/tillsyn/A 24374-2026 tillsynsbegäran.docx", "A 24374-2026")</f>
        <v/>
      </c>
      <c r="AD17">
        <f>HYPERLINK("https://klasma.github.io/Logging_1864/tillsynsmail/A 24374-2026 tillsynsbegäran mail.docx", "A 24374-2026")</f>
        <v/>
      </c>
    </row>
    <row r="18" ht="15" customHeight="1">
      <c r="A18" t="inlineStr">
        <is>
          <t>A 33193-2024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45518</v>
      </c>
      <c r="E18" s="1" t="n">
        <v>46302</v>
      </c>
      <c r="F18" t="inlineStr">
        <is>
          <t>ÖREBRO LÄN</t>
        </is>
      </c>
      <c r="G18" t="inlineStr">
        <is>
          <t>LJUSNARSBERG</t>
        </is>
      </c>
      <c r="I18" t="n">
        <v>5.9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Dropptaggsvamp
Tjäder</t>
        </is>
      </c>
      <c r="W18">
        <f>HYPERLINK("https://klasma.github.io/Logging_1864/artfynd/A 33193-2024 artfynd.xlsx", "A 33193-2024")</f>
        <v/>
      </c>
      <c r="X18">
        <f>HYPERLINK("https://klasma.github.io/Logging_1864/kartor/A 33193-2024 karta.png", "A 33193-2024")</f>
        <v/>
      </c>
      <c r="Y18">
        <f>HYPERLINK("https://klasma.github.io/Logging_1864/kartor_geotiff/A 33193-2024 georefererad karta.tif", "A 33193-2024")</f>
        <v/>
      </c>
      <c r="AA18">
        <f>HYPERLINK("https://klasma.github.io/Logging_1864/klagomål/A 33193-2024 FSC-klagomål.docx", "A 33193-2024")</f>
        <v/>
      </c>
      <c r="AB18">
        <f>HYPERLINK("https://klasma.github.io/Logging_1864/klagomålsmail/A 33193-2024 FSC-klagomål mail.docx", "A 33193-2024")</f>
        <v/>
      </c>
      <c r="AC18">
        <f>HYPERLINK("https://klasma.github.io/Logging_1864/tillsyn/A 33193-2024 tillsynsbegäran.docx", "A 33193-2024")</f>
        <v/>
      </c>
      <c r="AD18">
        <f>HYPERLINK("https://klasma.github.io/Logging_1864/tillsynsmail/A 33193-2024 tillsynsbegäran mail.docx", "A 33193-2024")</f>
        <v/>
      </c>
      <c r="AE18">
        <f>HYPERLINK("https://klasma.github.io/Logging_1864/fåglar/A 33193-2024 prioriterade fågelarter.docx", "A 33193-2024")</f>
        <v/>
      </c>
    </row>
    <row r="19" ht="15" customHeight="1">
      <c r="A19" t="inlineStr">
        <is>
          <t>A 62105-2022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44920</v>
      </c>
      <c r="E19" s="1" t="n">
        <v>46302</v>
      </c>
      <c r="F19" t="inlineStr">
        <is>
          <t>ÖREBRO LÄN</t>
        </is>
      </c>
      <c r="G19" t="inlineStr">
        <is>
          <t>LJUSNARSBERG</t>
        </is>
      </c>
      <c r="I19" t="n">
        <v>5.7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7</v>
      </c>
      <c r="U19" t="n">
        <v>7</v>
      </c>
      <c r="V19" s="2" t="inlineStr">
        <is>
          <t>Spillkråka
Kungsfågel</t>
        </is>
      </c>
      <c r="W19">
        <f>HYPERLINK("https://klasma.github.io/Logging_1864/artfynd/A 62105-2022 artfynd.xlsx", "A 62105-2022")</f>
        <v/>
      </c>
      <c r="X19">
        <f>HYPERLINK("https://klasma.github.io/Logging_1864/kartor/A 62105-2022 karta.png", "A 62105-2022")</f>
        <v/>
      </c>
      <c r="Y19">
        <f>HYPERLINK("https://klasma.github.io/Logging_1864/kartor_geotiff/A 62105-2022 georefererad karta.tif", "A 62105-2022")</f>
        <v/>
      </c>
      <c r="AA19">
        <f>HYPERLINK("https://klasma.github.io/Logging_1864/klagomål/A 62105-2022 FSC-klagomål.docx", "A 62105-2022")</f>
        <v/>
      </c>
      <c r="AB19">
        <f>HYPERLINK("https://klasma.github.io/Logging_1864/klagomålsmail/A 62105-2022 FSC-klagomål mail.docx", "A 62105-2022")</f>
        <v/>
      </c>
      <c r="AC19">
        <f>HYPERLINK("https://klasma.github.io/Logging_1864/tillsyn/A 62105-2022 tillsynsbegäran.docx", "A 62105-2022")</f>
        <v/>
      </c>
      <c r="AD19">
        <f>HYPERLINK("https://klasma.github.io/Logging_1864/tillsynsmail/A 62105-2022 tillsynsbegäran mail.docx", "A 62105-2022")</f>
        <v/>
      </c>
      <c r="AE19">
        <f>HYPERLINK("https://klasma.github.io/Logging_1864/fåglar/A 62105-2022 prioriterade fågelarter.docx", "A 62105-2022")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46302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46302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46302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56859-2025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45975</v>
      </c>
      <c r="E23" s="1" t="n">
        <v>46302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Större vattensalamander</t>
        </is>
      </c>
      <c r="W23">
        <f>HYPERLINK("https://klasma.github.io/Logging_1864/artfynd/A 56859-2025 artfynd.xlsx", "A 56859-2025")</f>
        <v/>
      </c>
      <c r="X23">
        <f>HYPERLINK("https://klasma.github.io/Logging_1864/kartor/A 56859-2025 karta.png", "A 56859-2025")</f>
        <v/>
      </c>
      <c r="Y23">
        <f>HYPERLINK("https://klasma.github.io/Logging_1864/kartor_geotiff/A 56859-2025 georefererad karta.tif", "A 56859-2025")</f>
        <v/>
      </c>
      <c r="AA23">
        <f>HYPERLINK("https://klasma.github.io/Logging_1864/klagomål/A 56859-2025 FSC-klagomål.docx", "A 56859-2025")</f>
        <v/>
      </c>
      <c r="AB23">
        <f>HYPERLINK("https://klasma.github.io/Logging_1864/klagomålsmail/A 56859-2025 FSC-klagomål mail.docx", "A 56859-2025")</f>
        <v/>
      </c>
      <c r="AC23">
        <f>HYPERLINK("https://klasma.github.io/Logging_1864/tillsyn/A 56859-2025 tillsynsbegäran.docx", "A 56859-2025")</f>
        <v/>
      </c>
      <c r="AD23">
        <f>HYPERLINK("https://klasma.github.io/Logging_1864/tillsynsmail/A 56859-2025 tillsynsbegäran mail.docx", "A 56859-2025")</f>
        <v/>
      </c>
    </row>
    <row r="24" ht="15" customHeight="1">
      <c r="A24" t="inlineStr">
        <is>
          <t>A 19940-2026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46136</v>
      </c>
      <c r="E24" s="1" t="n">
        <v>46302</v>
      </c>
      <c r="F24" t="inlineStr">
        <is>
          <t>ÖREBRO LÄN</t>
        </is>
      </c>
      <c r="G24" t="inlineStr">
        <is>
          <t>LJUSNARSBERG</t>
        </is>
      </c>
      <c r="H24" t="inlineStr">
        <is>
          <t>Sveaskog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HYPERLINK("https://klasma.github.io/Logging_1864/artfynd/A 19940-2026 artfynd.xlsx", "A 19940-2026")</f>
        <v/>
      </c>
      <c r="X24">
        <f>HYPERLINK("https://klasma.github.io/Logging_1864/kartor/A 19940-2026 karta.png", "A 19940-2026")</f>
        <v/>
      </c>
      <c r="Y24">
        <f>HYPERLINK("https://klasma.github.io/Logging_1864/kartor_geotiff/A 19940-2026 georefererad karta.tif", "A 19940-2026")</f>
        <v/>
      </c>
      <c r="AA24">
        <f>HYPERLINK("https://klasma.github.io/Logging_1864/klagomål/A 19940-2026 FSC-klagomål.docx", "A 19940-2026")</f>
        <v/>
      </c>
      <c r="AB24">
        <f>HYPERLINK("https://klasma.github.io/Logging_1864/klagomålsmail/A 19940-2026 FSC-klagomål mail.docx", "A 19940-2026")</f>
        <v/>
      </c>
      <c r="AC24">
        <f>HYPERLINK("https://klasma.github.io/Logging_1864/tillsyn/A 19940-2026 tillsynsbegäran.docx", "A 19940-2026")</f>
        <v/>
      </c>
      <c r="AD24">
        <f>HYPERLINK("https://klasma.github.io/Logging_1864/tillsynsmail/A 19940-2026 tillsynsbegäran mail.docx", "A 19940-2026")</f>
        <v/>
      </c>
    </row>
    <row r="25" ht="15" customHeight="1">
      <c r="A25" t="inlineStr">
        <is>
          <t>A 18857-2026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46127</v>
      </c>
      <c r="E25" s="1" t="n">
        <v>46302</v>
      </c>
      <c r="F25" t="inlineStr">
        <is>
          <t>ÖREBRO LÄN</t>
        </is>
      </c>
      <c r="G25" t="inlineStr">
        <is>
          <t>LJUSNARSBERG</t>
        </is>
      </c>
      <c r="I25" t="n">
        <v>5.1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Trana</t>
        </is>
      </c>
      <c r="W25">
        <f>HYPERLINK("https://klasma.github.io/Logging_1864/artfynd/A 18857-2026 artfynd.xlsx", "A 18857-2026")</f>
        <v/>
      </c>
      <c r="X25">
        <f>HYPERLINK("https://klasma.github.io/Logging_1864/kartor/A 18857-2026 karta.png", "A 18857-2026")</f>
        <v/>
      </c>
      <c r="Y25">
        <f>HYPERLINK("https://klasma.github.io/Logging_1864/kartor_geotiff/A 18857-2026 georefererad karta.tif", "A 18857-2026")</f>
        <v/>
      </c>
      <c r="AA25">
        <f>HYPERLINK("https://klasma.github.io/Logging_1864/klagomål/A 18857-2026 FSC-klagomål.docx", "A 18857-2026")</f>
        <v/>
      </c>
      <c r="AB25">
        <f>HYPERLINK("https://klasma.github.io/Logging_1864/klagomålsmail/A 18857-2026 FSC-klagomål mail.docx", "A 18857-2026")</f>
        <v/>
      </c>
      <c r="AC25">
        <f>HYPERLINK("https://klasma.github.io/Logging_1864/tillsyn/A 18857-2026 tillsynsbegäran.docx", "A 18857-2026")</f>
        <v/>
      </c>
      <c r="AD25">
        <f>HYPERLINK("https://klasma.github.io/Logging_1864/tillsynsmail/A 18857-2026 tillsynsbegäran mail.docx", "A 18857-2026")</f>
        <v/>
      </c>
      <c r="AE25">
        <f>HYPERLINK("https://klasma.github.io/Logging_1864/fåglar/A 18857-2026 prioriterade fågelarter.docx", "A 18857-2026")</f>
        <v/>
      </c>
    </row>
    <row r="26" ht="15" customHeight="1">
      <c r="A26" t="inlineStr">
        <is>
          <t>A 24348-2026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46167</v>
      </c>
      <c r="E26" s="1" t="n">
        <v>46302</v>
      </c>
      <c r="F26" t="inlineStr">
        <is>
          <t>ÖREBRO LÄN</t>
        </is>
      </c>
      <c r="G26" t="inlineStr">
        <is>
          <t>LJUSNARSBERG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HYPERLINK("https://klasma.github.io/Logging_1864/artfynd/A 24348-2026 artfynd.xlsx", "A 24348-2026")</f>
        <v/>
      </c>
      <c r="X26">
        <f>HYPERLINK("https://klasma.github.io/Logging_1864/kartor/A 24348-2026 karta.png", "A 24348-2026")</f>
        <v/>
      </c>
      <c r="Y26">
        <f>HYPERLINK("https://klasma.github.io/Logging_1864/kartor_geotiff/A 24348-2026 georefererad karta.tif", "A 24348-2026")</f>
        <v/>
      </c>
      <c r="AA26">
        <f>HYPERLINK("https://klasma.github.io/Logging_1864/klagomål/A 24348-2026 FSC-klagomål.docx", "A 24348-2026")</f>
        <v/>
      </c>
      <c r="AB26">
        <f>HYPERLINK("https://klasma.github.io/Logging_1864/klagomålsmail/A 24348-2026 FSC-klagomål mail.docx", "A 24348-2026")</f>
        <v/>
      </c>
      <c r="AC26">
        <f>HYPERLINK("https://klasma.github.io/Logging_1864/tillsyn/A 24348-2026 tillsynsbegäran.docx", "A 24348-2026")</f>
        <v/>
      </c>
      <c r="AD26">
        <f>HYPERLINK("https://klasma.github.io/Logging_1864/tillsynsmail/A 24348-2026 tillsynsbegäran mail.docx", "A 24348-2026")</f>
        <v/>
      </c>
      <c r="AE26">
        <f>HYPERLINK("https://klasma.github.io/Logging_1864/fåglar/A 24348-2026 prioriterade fågelarter.docx", "A 24348-2026")</f>
        <v/>
      </c>
    </row>
    <row r="27" ht="15" customHeight="1">
      <c r="A27" t="inlineStr">
        <is>
          <t>A 45537-2024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45578</v>
      </c>
      <c r="E27" s="1" t="n">
        <v>46302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4.3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Fläcknycklar</t>
        </is>
      </c>
      <c r="W27">
        <f>HYPERLINK("https://klasma.github.io/Logging_1864/artfynd/A 45537-2024 artfynd.xlsx", "A 45537-2024")</f>
        <v/>
      </c>
      <c r="X27">
        <f>HYPERLINK("https://klasma.github.io/Logging_1864/kartor/A 45537-2024 karta.png", "A 45537-2024")</f>
        <v/>
      </c>
      <c r="Y27">
        <f>HYPERLINK("https://klasma.github.io/Logging_1864/kartor_geotiff/A 45537-2024 georefererad karta.tif", "A 45537-2024")</f>
        <v/>
      </c>
      <c r="AA27">
        <f>HYPERLINK("https://klasma.github.io/Logging_1864/klagomål/A 45537-2024 FSC-klagomål.docx", "A 45537-2024")</f>
        <v/>
      </c>
      <c r="AB27">
        <f>HYPERLINK("https://klasma.github.io/Logging_1864/klagomålsmail/A 45537-2024 FSC-klagomål mail.docx", "A 45537-2024")</f>
        <v/>
      </c>
      <c r="AC27">
        <f>HYPERLINK("https://klasma.github.io/Logging_1864/tillsyn/A 45537-2024 tillsynsbegäran.docx", "A 45537-2024")</f>
        <v/>
      </c>
      <c r="AD27">
        <f>HYPERLINK("https://klasma.github.io/Logging_1864/tillsynsmail/A 45537-2024 tillsynsbegäran mail.docx", "A 45537-2024")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46302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A 39095-2022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44817</v>
      </c>
      <c r="E29" s="1" t="n">
        <v>46302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HYPERLINK("https://klasma.github.io/Logging_1864/artfynd/A 39095-2022 artfynd.xlsx", "A 39095-2022")</f>
        <v/>
      </c>
      <c r="X29">
        <f>HYPERLINK("https://klasma.github.io/Logging_1864/kartor/A 39095-2022 karta.png", "A 39095-2022")</f>
        <v/>
      </c>
      <c r="Y29">
        <f>HYPERLINK("https://klasma.github.io/Logging_1864/kartor_geotiff/A 39095-2022 georefererad karta.tif", "A 39095-2022")</f>
        <v/>
      </c>
      <c r="AA29">
        <f>HYPERLINK("https://klasma.github.io/Logging_1864/klagomål/A 39095-2022 FSC-klagomål.docx", "A 39095-2022")</f>
        <v/>
      </c>
      <c r="AB29">
        <f>HYPERLINK("https://klasma.github.io/Logging_1864/klagomålsmail/A 39095-2022 FSC-klagomål mail.docx", "A 39095-2022")</f>
        <v/>
      </c>
      <c r="AC29">
        <f>HYPERLINK("https://klasma.github.io/Logging_1864/tillsyn/A 39095-2022 tillsynsbegäran.docx", "A 39095-2022")</f>
        <v/>
      </c>
      <c r="AD29">
        <f>HYPERLINK("https://klasma.github.io/Logging_1864/tillsynsmail/A 39095-2022 tillsynsbegäran mail.docx", "A 39095-2022")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46302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46302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46302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46302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46302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46302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46302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46302</v>
      </c>
      <c r="F37" t="inlineStr">
        <is>
          <t>ÖREBRO LÄN</t>
        </is>
      </c>
      <c r="G37" t="inlineStr">
        <is>
          <t>LJUSNARSBERG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46302</v>
      </c>
      <c r="F38" t="inlineStr">
        <is>
          <t>ÖREBRO LÄN</t>
        </is>
      </c>
      <c r="G38" t="inlineStr">
        <is>
          <t>LJUSNARSBERG</t>
        </is>
      </c>
      <c r="H38" t="inlineStr">
        <is>
          <t>Bergvik skog väst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46302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46302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44778</v>
      </c>
      <c r="E41" s="1" t="n">
        <v>46302</v>
      </c>
      <c r="F41" t="inlineStr">
        <is>
          <t>ÖREBRO LÄN</t>
        </is>
      </c>
      <c r="G41" t="inlineStr">
        <is>
          <t>LJUSNARSBERG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46302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61794-2024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46302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25574-2023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45089</v>
      </c>
      <c r="E44" s="1" t="n">
        <v>46302</v>
      </c>
      <c r="F44" t="inlineStr">
        <is>
          <t>ÖREBRO LÄN</t>
        </is>
      </c>
      <c r="G44" t="inlineStr">
        <is>
          <t>LJUSNARSBERG</t>
        </is>
      </c>
      <c r="H44" t="inlineStr">
        <is>
          <t>Sveaskog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30774-2023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46302</v>
      </c>
      <c r="F45" t="inlineStr">
        <is>
          <t>ÖREBRO LÄN</t>
        </is>
      </c>
      <c r="G45" t="inlineStr">
        <is>
          <t>LJUSNARSBERG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62810-2021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44503</v>
      </c>
      <c r="E46" s="1" t="n">
        <v>46302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46805-2024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45583</v>
      </c>
      <c r="E47" s="1" t="n">
        <v>46302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61580-2023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45265</v>
      </c>
      <c r="E48" s="1" t="n">
        <v>46302</v>
      </c>
      <c r="F48" t="inlineStr">
        <is>
          <t>ÖREBRO LÄN</t>
        </is>
      </c>
      <c r="G48" t="inlineStr">
        <is>
          <t>LJUSNARSBERG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46302</v>
      </c>
      <c r="F49" t="inlineStr">
        <is>
          <t>ÖREBRO LÄN</t>
        </is>
      </c>
      <c r="G49" t="inlineStr">
        <is>
          <t>LJUSNARSBERG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46302</v>
      </c>
      <c r="F50" t="inlineStr">
        <is>
          <t>ÖREBRO LÄN</t>
        </is>
      </c>
      <c r="G50" t="inlineStr">
        <is>
          <t>LJUSNARSBERG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62843-2021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46302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45399</v>
      </c>
      <c r="E52" s="1" t="n">
        <v>46302</v>
      </c>
      <c r="F52" t="inlineStr">
        <is>
          <t>ÖREBRO LÄN</t>
        </is>
      </c>
      <c r="G52" t="inlineStr">
        <is>
          <t>LJUSNARSBERG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44734</v>
      </c>
      <c r="E53" s="1" t="n">
        <v>46302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12489-2023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44999</v>
      </c>
      <c r="E54" s="1" t="n">
        <v>46302</v>
      </c>
      <c r="F54" t="inlineStr">
        <is>
          <t>ÖREBRO LÄN</t>
        </is>
      </c>
      <c r="G54" t="inlineStr">
        <is>
          <t>LJUSNARSBERG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46302</v>
      </c>
      <c r="F55" t="inlineStr">
        <is>
          <t>ÖREBRO LÄN</t>
        </is>
      </c>
      <c r="G55" t="inlineStr">
        <is>
          <t>LJUSNARSBERG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67746-2021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46302</v>
      </c>
      <c r="F56" t="inlineStr">
        <is>
          <t>ÖREBRO LÄN</t>
        </is>
      </c>
      <c r="G56" t="inlineStr">
        <is>
          <t>LJUSNARSBERG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33974-2023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45124</v>
      </c>
      <c r="E57" s="1" t="n">
        <v>46302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59627-2024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46302</v>
      </c>
      <c r="F58" t="inlineStr">
        <is>
          <t>ÖREBRO LÄN</t>
        </is>
      </c>
      <c r="G58" t="inlineStr">
        <is>
          <t>LJUSNARSBERG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44780-2024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45574</v>
      </c>
      <c r="E59" s="1" t="n">
        <v>46302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59630-2024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45638</v>
      </c>
      <c r="E60" s="1" t="n">
        <v>46302</v>
      </c>
      <c r="F60" t="inlineStr">
        <is>
          <t>ÖREBRO LÄN</t>
        </is>
      </c>
      <c r="G60" t="inlineStr">
        <is>
          <t>LJUSNARSBERG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31357-2025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46302</v>
      </c>
      <c r="F61" t="inlineStr">
        <is>
          <t>ÖREBRO LÄN</t>
        </is>
      </c>
      <c r="G61" t="inlineStr">
        <is>
          <t>LJUSNARSBERG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2667-2026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46037</v>
      </c>
      <c r="E62" s="1" t="n">
        <v>46302</v>
      </c>
      <c r="F62" t="inlineStr">
        <is>
          <t>ÖREBRO LÄN</t>
        </is>
      </c>
      <c r="G62" t="inlineStr">
        <is>
          <t>LJUSNARSBERG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26469-2025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45807</v>
      </c>
      <c r="E63" s="1" t="n">
        <v>46302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25671-2024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45463</v>
      </c>
      <c r="E64" s="1" t="n">
        <v>46302</v>
      </c>
      <c r="F64" t="inlineStr">
        <is>
          <t>ÖREBRO LÄN</t>
        </is>
      </c>
      <c r="G64" t="inlineStr">
        <is>
          <t>LJUSNARSBERG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20673-2025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45776</v>
      </c>
      <c r="E65" s="1" t="n">
        <v>46302</v>
      </c>
      <c r="F65" t="inlineStr">
        <is>
          <t>ÖREBRO LÄN</t>
        </is>
      </c>
      <c r="G65" t="inlineStr">
        <is>
          <t>LJUSNARSBERG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37148-2023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45155</v>
      </c>
      <c r="E66" s="1" t="n">
        <v>46302</v>
      </c>
      <c r="F66" t="inlineStr">
        <is>
          <t>ÖREBRO LÄN</t>
        </is>
      </c>
      <c r="G66" t="inlineStr">
        <is>
          <t>LJUSNARSBERG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40477-2025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45895</v>
      </c>
      <c r="E67" s="1" t="n">
        <v>46302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11.9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22887-2024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45448</v>
      </c>
      <c r="E68" s="1" t="n">
        <v>46302</v>
      </c>
      <c r="F68" t="inlineStr">
        <is>
          <t>ÖREBRO LÄN</t>
        </is>
      </c>
      <c r="G68" t="inlineStr">
        <is>
          <t>LJUSNARSBERG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40477-2025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45895</v>
      </c>
      <c r="E69" s="1" t="n">
        <v>46302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40933-2025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46302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16.6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40852-2025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46302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8.699999999999999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41032-2025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45897</v>
      </c>
      <c r="E72" s="1" t="n">
        <v>46302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45897</v>
      </c>
      <c r="E73" s="1" t="n">
        <v>46302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29595-2025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45825</v>
      </c>
      <c r="E74" s="1" t="n">
        <v>46302</v>
      </c>
      <c r="F74" t="inlineStr">
        <is>
          <t>ÖREBRO LÄN</t>
        </is>
      </c>
      <c r="G74" t="inlineStr">
        <is>
          <t>LJUSNARSBERG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40964-2025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45897</v>
      </c>
      <c r="E75" s="1" t="n">
        <v>46302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41383-2025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45898</v>
      </c>
      <c r="E76" s="1" t="n">
        <v>46302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8.199999999999999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44983-2024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45575</v>
      </c>
      <c r="E77" s="1" t="n">
        <v>46302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8.199999999999999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41420-2025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45898</v>
      </c>
      <c r="E78" s="1" t="n">
        <v>46302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18.1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42287-2025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45903</v>
      </c>
      <c r="E79" s="1" t="n">
        <v>46302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43078-2025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45909</v>
      </c>
      <c r="E80" s="1" t="n">
        <v>46302</v>
      </c>
      <c r="F80" t="inlineStr">
        <is>
          <t>ÖREBRO LÄN</t>
        </is>
      </c>
      <c r="G80" t="inlineStr">
        <is>
          <t>LJUSNARSBERG</t>
        </is>
      </c>
      <c r="I80" t="n">
        <v>17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52366-2024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46302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40864-2025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46302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29572-2025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45825</v>
      </c>
      <c r="E83" s="1" t="n">
        <v>46302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30428-2025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45827</v>
      </c>
      <c r="E84" s="1" t="n">
        <v>46302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30002-2025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45826</v>
      </c>
      <c r="E85" s="1" t="n">
        <v>46302</v>
      </c>
      <c r="F85" t="inlineStr">
        <is>
          <t>ÖREBRO LÄN</t>
        </is>
      </c>
      <c r="G85" t="inlineStr">
        <is>
          <t>LJUSNARSBERG</t>
        </is>
      </c>
      <c r="H85" t="inlineStr">
        <is>
          <t>Sveaskog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30430-2025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45827</v>
      </c>
      <c r="E86" s="1" t="n">
        <v>46302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46492-2025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45925</v>
      </c>
      <c r="E87" s="1" t="n">
        <v>46302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35151-2023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45145</v>
      </c>
      <c r="E88" s="1" t="n">
        <v>46302</v>
      </c>
      <c r="F88" t="inlineStr">
        <is>
          <t>ÖREBRO LÄN</t>
        </is>
      </c>
      <c r="G88" t="inlineStr">
        <is>
          <t>LJUSNARSBERG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41610-2025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45901</v>
      </c>
      <c r="E89" s="1" t="n">
        <v>46302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23346-2022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44720</v>
      </c>
      <c r="E90" s="1" t="n">
        <v>46302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25098-2023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45086</v>
      </c>
      <c r="E91" s="1" t="n">
        <v>46302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48204-2025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45933</v>
      </c>
      <c r="E92" s="1" t="n">
        <v>46302</v>
      </c>
      <c r="F92" t="inlineStr">
        <is>
          <t>ÖREBRO LÄN</t>
        </is>
      </c>
      <c r="G92" t="inlineStr">
        <is>
          <t>LJUSNARSBERG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48353-2022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44858</v>
      </c>
      <c r="E93" s="1" t="n">
        <v>46302</v>
      </c>
      <c r="F93" t="inlineStr">
        <is>
          <t>ÖREBRO LÄN</t>
        </is>
      </c>
      <c r="G93" t="inlineStr">
        <is>
          <t>LJUSNARSBERG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46302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46302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45934</v>
      </c>
      <c r="E96" s="1" t="n">
        <v>46302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45934</v>
      </c>
      <c r="E97" s="1" t="n">
        <v>46302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57129-2021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44482</v>
      </c>
      <c r="E98" s="1" t="n">
        <v>46302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17.8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37066-2023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45155</v>
      </c>
      <c r="E99" s="1" t="n">
        <v>46302</v>
      </c>
      <c r="F99" t="inlineStr">
        <is>
          <t>ÖREBRO LÄN</t>
        </is>
      </c>
      <c r="G99" t="inlineStr">
        <is>
          <t>LJUSNARSBERG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33622-2025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45841</v>
      </c>
      <c r="E100" s="1" t="n">
        <v>46302</v>
      </c>
      <c r="F100" t="inlineStr">
        <is>
          <t>ÖREBRO LÄN</t>
        </is>
      </c>
      <c r="G100" t="inlineStr">
        <is>
          <t>LJUSNARSBERG</t>
        </is>
      </c>
      <c r="H100" t="inlineStr">
        <is>
          <t>Kyrkan</t>
        </is>
      </c>
      <c r="I100" t="n">
        <v>5.3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17276-2023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45035</v>
      </c>
      <c r="E101" s="1" t="n">
        <v>46302</v>
      </c>
      <c r="F101" t="inlineStr">
        <is>
          <t>ÖREBRO LÄN</t>
        </is>
      </c>
      <c r="G101" t="inlineStr">
        <is>
          <t>LJUSNARSBERG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50865-2025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45946</v>
      </c>
      <c r="E102" s="1" t="n">
        <v>46302</v>
      </c>
      <c r="F102" t="inlineStr">
        <is>
          <t>ÖREBRO LÄN</t>
        </is>
      </c>
      <c r="G102" t="inlineStr">
        <is>
          <t>LJUSNARSBERG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51693-2025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45951</v>
      </c>
      <c r="E103" s="1" t="n">
        <v>46302</v>
      </c>
      <c r="F103" t="inlineStr">
        <is>
          <t>ÖREBRO LÄN</t>
        </is>
      </c>
      <c r="G103" t="inlineStr">
        <is>
          <t>LJUSNARSBERG</t>
        </is>
      </c>
      <c r="I103" t="n">
        <v>10.8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45659</v>
      </c>
      <c r="E104" s="1" t="n">
        <v>46302</v>
      </c>
      <c r="F104" t="inlineStr">
        <is>
          <t>ÖREBRO LÄN</t>
        </is>
      </c>
      <c r="G104" t="inlineStr">
        <is>
          <t>LJUSNARSBERG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59629-2024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45638</v>
      </c>
      <c r="E105" s="1" t="n">
        <v>46302</v>
      </c>
      <c r="F105" t="inlineStr">
        <is>
          <t>ÖREBRO LÄN</t>
        </is>
      </c>
      <c r="G105" t="inlineStr">
        <is>
          <t>LJUSNARSBERG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19738-2026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46133</v>
      </c>
      <c r="E106" s="1" t="n">
        <v>46302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14.5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24921-2023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45085</v>
      </c>
      <c r="E107" s="1" t="n">
        <v>46302</v>
      </c>
      <c r="F107" t="inlineStr">
        <is>
          <t>ÖREBRO LÄN</t>
        </is>
      </c>
      <c r="G107" t="inlineStr">
        <is>
          <t>LJUSNARSBERG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43638-2025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45911</v>
      </c>
      <c r="E108" s="1" t="n">
        <v>46302</v>
      </c>
      <c r="F108" t="inlineStr">
        <is>
          <t>ÖREBRO LÄN</t>
        </is>
      </c>
      <c r="G108" t="inlineStr">
        <is>
          <t>LJUSNARSBERG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19937-2026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46136</v>
      </c>
      <c r="E109" s="1" t="n">
        <v>46302</v>
      </c>
      <c r="F109" t="inlineStr">
        <is>
          <t>ÖREBRO LÄN</t>
        </is>
      </c>
      <c r="G109" t="inlineStr">
        <is>
          <t>LJUSNARSBERG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36108-2024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45533</v>
      </c>
      <c r="E110" s="1" t="n">
        <v>46302</v>
      </c>
      <c r="F110" t="inlineStr">
        <is>
          <t>ÖREBRO LÄN</t>
        </is>
      </c>
      <c r="G110" t="inlineStr">
        <is>
          <t>LJUSNARSBERG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57400-2025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45980</v>
      </c>
      <c r="E111" s="1" t="n">
        <v>46302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8.5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57392-2025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45980</v>
      </c>
      <c r="E112" s="1" t="n">
        <v>46302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46085-2024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45581</v>
      </c>
      <c r="E113" s="1" t="n">
        <v>46302</v>
      </c>
      <c r="F113" t="inlineStr">
        <is>
          <t>ÖREBRO LÄN</t>
        </is>
      </c>
      <c r="G113" t="inlineStr">
        <is>
          <t>LJUSNARSBERG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19936-2026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46136</v>
      </c>
      <c r="E114" s="1" t="n">
        <v>46302</v>
      </c>
      <c r="F114" t="inlineStr">
        <is>
          <t>ÖREBRO LÄN</t>
        </is>
      </c>
      <c r="G114" t="inlineStr">
        <is>
          <t>LJUSNARSBERG</t>
        </is>
      </c>
      <c r="H114" t="inlineStr">
        <is>
          <t>Sveaskog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27343-2025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45812</v>
      </c>
      <c r="E115" s="1" t="n">
        <v>46302</v>
      </c>
      <c r="F115" t="inlineStr">
        <is>
          <t>ÖREBRO LÄN</t>
        </is>
      </c>
      <c r="G115" t="inlineStr">
        <is>
          <t>LJUSNARSBERG</t>
        </is>
      </c>
      <c r="H115" t="inlineStr">
        <is>
          <t>Sveaskog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46302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63411-2025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46013</v>
      </c>
      <c r="E117" s="1" t="n">
        <v>46302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21202-2026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46146</v>
      </c>
      <c r="E118" s="1" t="n">
        <v>46302</v>
      </c>
      <c r="F118" t="inlineStr">
        <is>
          <t>ÖREBRO LÄN</t>
        </is>
      </c>
      <c r="G118" t="inlineStr">
        <is>
          <t>LJUSNARSBERG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21186-2026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46146</v>
      </c>
      <c r="E119" s="1" t="n">
        <v>46302</v>
      </c>
      <c r="F119" t="inlineStr">
        <is>
          <t>ÖREBRO LÄN</t>
        </is>
      </c>
      <c r="G119" t="inlineStr">
        <is>
          <t>LJUSNARSBERG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47017-2025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45929</v>
      </c>
      <c r="E120" s="1" t="n">
        <v>46302</v>
      </c>
      <c r="F120" t="inlineStr">
        <is>
          <t>ÖREBRO LÄN</t>
        </is>
      </c>
      <c r="G120" t="inlineStr">
        <is>
          <t>LJUSNARSBERG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19368-2025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45769</v>
      </c>
      <c r="E121" s="1" t="n">
        <v>46302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22366-2026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46154</v>
      </c>
      <c r="E122" s="1" t="n">
        <v>46302</v>
      </c>
      <c r="F122" t="inlineStr">
        <is>
          <t>ÖREBRO LÄN</t>
        </is>
      </c>
      <c r="G122" t="inlineStr">
        <is>
          <t>LJUSNARSBERG</t>
        </is>
      </c>
      <c r="I122" t="n">
        <v>14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32880-2025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45839</v>
      </c>
      <c r="E123" s="1" t="n">
        <v>46302</v>
      </c>
      <c r="F123" t="inlineStr">
        <is>
          <t>ÖREBRO LÄN</t>
        </is>
      </c>
      <c r="G123" t="inlineStr">
        <is>
          <t>LJUSNARSBERG</t>
        </is>
      </c>
      <c r="H123" t="inlineStr">
        <is>
          <t>Kommuner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53595-2024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45614</v>
      </c>
      <c r="E124" s="1" t="n">
        <v>46302</v>
      </c>
      <c r="F124" t="inlineStr">
        <is>
          <t>ÖREBRO LÄN</t>
        </is>
      </c>
      <c r="G124" t="inlineStr">
        <is>
          <t>LJUSNARSBERG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23633-2026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46163</v>
      </c>
      <c r="E125" s="1" t="n">
        <v>46302</v>
      </c>
      <c r="F125" t="inlineStr">
        <is>
          <t>ÖREBRO LÄN</t>
        </is>
      </c>
      <c r="G125" t="inlineStr">
        <is>
          <t>LJUSNARSBERG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24363-2026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46167</v>
      </c>
      <c r="E126" s="1" t="n">
        <v>46302</v>
      </c>
      <c r="F126" t="inlineStr">
        <is>
          <t>ÖREBRO LÄN</t>
        </is>
      </c>
      <c r="G126" t="inlineStr">
        <is>
          <t>LJUSNARSBERG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24343-2026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46167</v>
      </c>
      <c r="E127" s="1" t="n">
        <v>46302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24350-2026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46167</v>
      </c>
      <c r="E128" s="1" t="n">
        <v>46302</v>
      </c>
      <c r="F128" t="inlineStr">
        <is>
          <t>ÖREBRO LÄN</t>
        </is>
      </c>
      <c r="G128" t="inlineStr">
        <is>
          <t>LJUSNARSBERG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59497-2024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45638</v>
      </c>
      <c r="E129" s="1" t="n">
        <v>46302</v>
      </c>
      <c r="F129" t="inlineStr">
        <is>
          <t>ÖREBRO LÄN</t>
        </is>
      </c>
      <c r="G129" t="inlineStr">
        <is>
          <t>LJUSNARSBERG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33979-2023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45124</v>
      </c>
      <c r="E130" s="1" t="n">
        <v>46302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26379-2026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46183</v>
      </c>
      <c r="E131" s="1" t="n">
        <v>46302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26847-2026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46185</v>
      </c>
      <c r="E132" s="1" t="n">
        <v>46302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14.5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26617-2022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44739</v>
      </c>
      <c r="E133" s="1" t="n">
        <v>46302</v>
      </c>
      <c r="F133" t="inlineStr">
        <is>
          <t>ÖREBRO LÄN</t>
        </is>
      </c>
      <c r="G133" t="inlineStr">
        <is>
          <t>LJUSNARSBERG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59495-2024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45638</v>
      </c>
      <c r="E134" s="1" t="n">
        <v>46302</v>
      </c>
      <c r="F134" t="inlineStr">
        <is>
          <t>ÖREBRO LÄN</t>
        </is>
      </c>
      <c r="G134" t="inlineStr">
        <is>
          <t>LJUSNARSBERG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46146-2022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44847</v>
      </c>
      <c r="E135" s="1" t="n">
        <v>46302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53789-2022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44880</v>
      </c>
      <c r="E136" s="1" t="n">
        <v>46302</v>
      </c>
      <c r="F136" t="inlineStr">
        <is>
          <t>ÖREBRO LÄN</t>
        </is>
      </c>
      <c r="G136" t="inlineStr">
        <is>
          <t>LJUSNARSBERG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44565</v>
      </c>
      <c r="E137" s="1" t="n">
        <v>46302</v>
      </c>
      <c r="F137" t="inlineStr">
        <is>
          <t>ÖREBRO LÄN</t>
        </is>
      </c>
      <c r="G137" t="inlineStr">
        <is>
          <t>LJUSNARSBERG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45106</v>
      </c>
      <c r="E138" s="1" t="n">
        <v>46302</v>
      </c>
      <c r="F138" t="inlineStr">
        <is>
          <t>ÖREBRO LÄN</t>
        </is>
      </c>
      <c r="G138" t="inlineStr">
        <is>
          <t>LJUSNARSBERG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46082-2024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45581</v>
      </c>
      <c r="E139" s="1" t="n">
        <v>46302</v>
      </c>
      <c r="F139" t="inlineStr">
        <is>
          <t>ÖREBRO LÄN</t>
        </is>
      </c>
      <c r="G139" t="inlineStr">
        <is>
          <t>LJUSNARSBERG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44564</v>
      </c>
      <c r="E140" s="1" t="n">
        <v>46302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33861-2022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44790</v>
      </c>
      <c r="E141" s="1" t="n">
        <v>46302</v>
      </c>
      <c r="F141" t="inlineStr">
        <is>
          <t>ÖREBRO LÄN</t>
        </is>
      </c>
      <c r="G141" t="inlineStr">
        <is>
          <t>LJUSNARSBERG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50524-2023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45217</v>
      </c>
      <c r="E142" s="1" t="n">
        <v>46302</v>
      </c>
      <c r="F142" t="inlineStr">
        <is>
          <t>ÖREBRO LÄN</t>
        </is>
      </c>
      <c r="G142" t="inlineStr">
        <is>
          <t>LJUSNARSBERG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48582-2025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45936</v>
      </c>
      <c r="E143" s="1" t="n">
        <v>46302</v>
      </c>
      <c r="F143" t="inlineStr">
        <is>
          <t>ÖREBRO LÄN</t>
        </is>
      </c>
      <c r="G143" t="inlineStr">
        <is>
          <t>LJUSNARSBERG</t>
        </is>
      </c>
      <c r="H143" t="inlineStr">
        <is>
          <t>Sveaskog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44760-2024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45574</v>
      </c>
      <c r="E144" s="1" t="n">
        <v>46302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11.4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62667-2022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44917</v>
      </c>
      <c r="E145" s="1" t="n">
        <v>46302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7.1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12482-2023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44999</v>
      </c>
      <c r="E146" s="1" t="n">
        <v>46302</v>
      </c>
      <c r="F146" t="inlineStr">
        <is>
          <t>ÖREBRO LÄN</t>
        </is>
      </c>
      <c r="G146" t="inlineStr">
        <is>
          <t>LJUSNARSBERG</t>
        </is>
      </c>
      <c r="I146" t="n">
        <v>6.1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13803-2024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45390</v>
      </c>
      <c r="E147" s="1" t="n">
        <v>46302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17.8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24319-2026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46167</v>
      </c>
      <c r="E148" s="1" t="n">
        <v>46302</v>
      </c>
      <c r="F148" t="inlineStr">
        <is>
          <t>ÖREBRO LÄN</t>
        </is>
      </c>
      <c r="G148" t="inlineStr">
        <is>
          <t>LJUSNARSBERG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14500-2024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45394</v>
      </c>
      <c r="E149" s="1" t="n">
        <v>46302</v>
      </c>
      <c r="F149" t="inlineStr">
        <is>
          <t>ÖREBRO LÄN</t>
        </is>
      </c>
      <c r="G149" t="inlineStr">
        <is>
          <t>LJUSNARSBERG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36771-2026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46272</v>
      </c>
      <c r="E150" s="1" t="n">
        <v>46302</v>
      </c>
      <c r="F150" t="inlineStr">
        <is>
          <t>ÖREBRO LÄN</t>
        </is>
      </c>
      <c r="G150" t="inlineStr">
        <is>
          <t>LJUSNARSBERG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45239</v>
      </c>
      <c r="E151" s="1" t="n">
        <v>46302</v>
      </c>
      <c r="F151" t="inlineStr">
        <is>
          <t>ÖREBRO LÄN</t>
        </is>
      </c>
      <c r="G151" t="inlineStr">
        <is>
          <t>LJUSNARSBERG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36780-2026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46272</v>
      </c>
      <c r="E152" s="1" t="n">
        <v>46302</v>
      </c>
      <c r="F152" t="inlineStr">
        <is>
          <t>ÖREBRO LÄN</t>
        </is>
      </c>
      <c r="G152" t="inlineStr">
        <is>
          <t>LJUSNARSBERG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37438-2026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46275</v>
      </c>
      <c r="E153" s="1" t="n">
        <v>46302</v>
      </c>
      <c r="F153" t="inlineStr">
        <is>
          <t>ÖREBRO LÄN</t>
        </is>
      </c>
      <c r="G153" t="inlineStr">
        <is>
          <t>LJUSNARSBERG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37866-2026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46279</v>
      </c>
      <c r="E154" s="1" t="n">
        <v>46302</v>
      </c>
      <c r="F154" t="inlineStr">
        <is>
          <t>ÖREBRO LÄN</t>
        </is>
      </c>
      <c r="G154" t="inlineStr">
        <is>
          <t>LJUSNARSBERG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18938-2022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44690</v>
      </c>
      <c r="E155" s="1" t="n">
        <v>46302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58823-2022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44903</v>
      </c>
      <c r="E156" s="1" t="n">
        <v>46302</v>
      </c>
      <c r="F156" t="inlineStr">
        <is>
          <t>ÖREBRO LÄN</t>
        </is>
      </c>
      <c r="G156" t="inlineStr">
        <is>
          <t>LJUSNARSBERG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38269-2026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46281</v>
      </c>
      <c r="E157" s="1" t="n">
        <v>46302</v>
      </c>
      <c r="F157" t="inlineStr">
        <is>
          <t>ÖREBRO LÄN</t>
        </is>
      </c>
      <c r="G157" t="inlineStr">
        <is>
          <t>LJUSNARSBERG</t>
        </is>
      </c>
      <c r="H157" t="inlineStr">
        <is>
          <t>Kyrkan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45538-2024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45578</v>
      </c>
      <c r="E158" s="1" t="n">
        <v>46302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45578</v>
      </c>
      <c r="E159" s="1" t="n">
        <v>46302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38378-2026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46282</v>
      </c>
      <c r="E160" s="1" t="n">
        <v>46302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52489-2022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44874</v>
      </c>
      <c r="E161" s="1" t="n">
        <v>46302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33976-2023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45124</v>
      </c>
      <c r="E162" s="1" t="n">
        <v>46302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6.7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33245-2026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46246</v>
      </c>
      <c r="E163" s="1" t="n">
        <v>46302</v>
      </c>
      <c r="F163" t="inlineStr">
        <is>
          <t>ÖREBRO LÄN</t>
        </is>
      </c>
      <c r="G163" t="inlineStr">
        <is>
          <t>LJUSNARSBERG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33488-2026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46247</v>
      </c>
      <c r="E164" s="1" t="n">
        <v>46302</v>
      </c>
      <c r="F164" t="inlineStr">
        <is>
          <t>ÖREBRO LÄN</t>
        </is>
      </c>
      <c r="G164" t="inlineStr">
        <is>
          <t>LJUSNARSBERG</t>
        </is>
      </c>
      <c r="H164" t="inlineStr">
        <is>
          <t>Kyrkan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39834-2026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46290</v>
      </c>
      <c r="E165" s="1" t="n">
        <v>46302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40443-2026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46294</v>
      </c>
      <c r="E166" s="1" t="n">
        <v>46302</v>
      </c>
      <c r="F166" t="inlineStr">
        <is>
          <t>ÖREBRO LÄN</t>
        </is>
      </c>
      <c r="G166" t="inlineStr">
        <is>
          <t>LJUSNARSBERG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33753-2026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46251</v>
      </c>
      <c r="E167" s="1" t="n">
        <v>46302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18932-2022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44690</v>
      </c>
      <c r="E168" s="1" t="n">
        <v>46302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30414-2023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45111</v>
      </c>
      <c r="E169" s="1" t="n">
        <v>46302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62421-2022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44916</v>
      </c>
      <c r="E170" s="1" t="n">
        <v>46302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45347</v>
      </c>
      <c r="E171" s="1" t="n">
        <v>46302</v>
      </c>
      <c r="F171" t="inlineStr">
        <is>
          <t>ÖREBRO LÄN</t>
        </is>
      </c>
      <c r="G171" t="inlineStr">
        <is>
          <t>LJUSNARSBERG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41478-2026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46300</v>
      </c>
      <c r="E172" s="1" t="n">
        <v>46302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41489-2026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46300</v>
      </c>
      <c r="E173" s="1" t="n">
        <v>46302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41490-2026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46300</v>
      </c>
      <c r="E174" s="1" t="n">
        <v>46302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41550-2026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46301</v>
      </c>
      <c r="E175" s="1" t="n">
        <v>46302</v>
      </c>
      <c r="F175" t="inlineStr">
        <is>
          <t>ÖREBRO LÄN</t>
        </is>
      </c>
      <c r="G175" t="inlineStr">
        <is>
          <t>LJUSNARSBERG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16613-2023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45030</v>
      </c>
      <c r="E176" s="1" t="n">
        <v>46302</v>
      </c>
      <c r="F176" t="inlineStr">
        <is>
          <t>ÖREBRO LÄN</t>
        </is>
      </c>
      <c r="G176" t="inlineStr">
        <is>
          <t>LJUSNARSBERG</t>
        </is>
      </c>
      <c r="H176" t="inlineStr">
        <is>
          <t>Sveaskog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41458-2026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46300</v>
      </c>
      <c r="E177" s="1" t="n">
        <v>46302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41471-2026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46300</v>
      </c>
      <c r="E178" s="1" t="n">
        <v>46302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41484-2026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46301</v>
      </c>
      <c r="E179" s="1" t="n">
        <v>46302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41491-2026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46300</v>
      </c>
      <c r="E180" s="1" t="n">
        <v>46302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57090-2022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44895</v>
      </c>
      <c r="E181" s="1" t="n">
        <v>46302</v>
      </c>
      <c r="F181" t="inlineStr">
        <is>
          <t>ÖREBRO LÄN</t>
        </is>
      </c>
      <c r="G181" t="inlineStr">
        <is>
          <t>LJUSNARSBERG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23372-2022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44720</v>
      </c>
      <c r="E182" s="1" t="n">
        <v>46302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11.2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2607-2023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44939</v>
      </c>
      <c r="E183" s="1" t="n">
        <v>46302</v>
      </c>
      <c r="F183" t="inlineStr">
        <is>
          <t>ÖREBRO LÄN</t>
        </is>
      </c>
      <c r="G183" t="inlineStr">
        <is>
          <t>LJUSNARSBERG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7903-2022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44607</v>
      </c>
      <c r="E184" s="1" t="n">
        <v>46302</v>
      </c>
      <c r="F184" t="inlineStr">
        <is>
          <t>ÖREBRO LÄN</t>
        </is>
      </c>
      <c r="G184" t="inlineStr">
        <is>
          <t>LJUSNARSBERG</t>
        </is>
      </c>
      <c r="H184" t="inlineStr">
        <is>
          <t>Kyrkan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42761-2023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45177</v>
      </c>
      <c r="E185" s="1" t="n">
        <v>46302</v>
      </c>
      <c r="F185" t="inlineStr">
        <is>
          <t>ÖREBRO LÄN</t>
        </is>
      </c>
      <c r="G185" t="inlineStr">
        <is>
          <t>LJUSNARSBERG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31167-2023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46302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31295-2023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45103</v>
      </c>
      <c r="E187" s="1" t="n">
        <v>46302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18975-2025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45764</v>
      </c>
      <c r="E188" s="1" t="n">
        <v>46302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19857-2022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44694</v>
      </c>
      <c r="E189" s="1" t="n">
        <v>46302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46801-2024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45583</v>
      </c>
      <c r="E190" s="1" t="n">
        <v>46302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31162-2023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45103</v>
      </c>
      <c r="E191" s="1" t="n">
        <v>46302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10.4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28778-2024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45478</v>
      </c>
      <c r="E192" s="1" t="n">
        <v>46302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48780-2024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45593</v>
      </c>
      <c r="E193" s="1" t="n">
        <v>46302</v>
      </c>
      <c r="F193" t="inlineStr">
        <is>
          <t>ÖREBRO LÄN</t>
        </is>
      </c>
      <c r="G193" t="inlineStr">
        <is>
          <t>LJUSNARSBERG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45698</v>
      </c>
      <c r="E194" s="1" t="n">
        <v>46302</v>
      </c>
      <c r="F194" t="inlineStr">
        <is>
          <t>ÖREBRO LÄN</t>
        </is>
      </c>
      <c r="G194" t="inlineStr">
        <is>
          <t>LJUSNARSBERG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45387</v>
      </c>
      <c r="E195" s="1" t="n">
        <v>46302</v>
      </c>
      <c r="F195" t="inlineStr">
        <is>
          <t>ÖREBRO LÄN</t>
        </is>
      </c>
      <c r="G195" t="inlineStr">
        <is>
          <t>LJUSNARSBERG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45110</v>
      </c>
      <c r="E196" s="1" t="n">
        <v>46302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10.8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45142</v>
      </c>
      <c r="E197" s="1" t="n">
        <v>46302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44956</v>
      </c>
      <c r="E198" s="1" t="n">
        <v>46302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31763-2023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45106</v>
      </c>
      <c r="E199" s="1" t="n">
        <v>46302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11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880-2024</t>
        </is>
      </c>
      <c r="B200" t="inlineStr">
        <is>
          <t>samrådsanmälan</t>
        </is>
      </c>
      <c r="C200" t="inlineStr">
        <is>
          <t>Annan skogsbruksåtgärd</t>
        </is>
      </c>
      <c r="D200" s="1" t="n">
        <v>45376</v>
      </c>
      <c r="E200" s="1" t="n">
        <v>46302</v>
      </c>
      <c r="F200" t="inlineStr">
        <is>
          <t>ÖREBRO LÄN</t>
        </is>
      </c>
      <c r="G200" t="inlineStr">
        <is>
          <t>LJUSNARSBERG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3541-2022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44734</v>
      </c>
      <c r="E201" s="1" t="n">
        <v>46302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10473-2021</t>
        </is>
      </c>
      <c r="B202" t="inlineStr">
        <is>
          <t>samrådsanmälan</t>
        </is>
      </c>
      <c r="C202" t="inlineStr">
        <is>
          <t>Skogsbilväg</t>
        </is>
      </c>
      <c r="D202" s="1" t="n">
        <v>44559</v>
      </c>
      <c r="E202" s="1" t="n">
        <v>46302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3528-2023</t>
        </is>
      </c>
      <c r="B203" t="inlineStr">
        <is>
          <t>samrådsanmälan</t>
        </is>
      </c>
      <c r="C203" t="inlineStr">
        <is>
          <t>Annan skogsbruksåtgärd</t>
        </is>
      </c>
      <c r="D203" s="1" t="n">
        <v>45205</v>
      </c>
      <c r="E203" s="1" t="n">
        <v>46302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39.4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410-2022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44585</v>
      </c>
      <c r="E204" s="1" t="n">
        <v>46302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36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4521-2023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45275</v>
      </c>
      <c r="E205" s="1" t="n">
        <v>46302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1099-2022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44615</v>
      </c>
      <c r="E206" s="1" t="n">
        <v>46302</v>
      </c>
      <c r="F206" t="inlineStr">
        <is>
          <t>ÖREBRO LÄN</t>
        </is>
      </c>
      <c r="G206" t="inlineStr">
        <is>
          <t>LJUSNARSBERG</t>
        </is>
      </c>
      <c r="H206" t="inlineStr">
        <is>
          <t>Sveaskog</t>
        </is>
      </c>
      <c r="I206" t="n">
        <v>147.4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2836-2023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45167</v>
      </c>
      <c r="E207" s="1" t="n">
        <v>46302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707-2025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45720</v>
      </c>
      <c r="E208" s="1" t="n">
        <v>46302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162.6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1972-2025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45832</v>
      </c>
      <c r="E209" s="1" t="n">
        <v>46302</v>
      </c>
      <c r="F209" t="inlineStr">
        <is>
          <t>ÖREBRO LÄN</t>
        </is>
      </c>
      <c r="G209" t="inlineStr">
        <is>
          <t>LJUSNARSBERG</t>
        </is>
      </c>
      <c r="H209" t="inlineStr">
        <is>
          <t>Sveaskog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3578-2025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46010</v>
      </c>
      <c r="E210" s="1" t="n">
        <v>46302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603-2026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46085</v>
      </c>
      <c r="E211" s="1" t="n">
        <v>46302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125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1743-2026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46185</v>
      </c>
      <c r="E212" s="1" t="n">
        <v>46302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16.8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1624-2026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46174</v>
      </c>
      <c r="E213" s="1" t="n">
        <v>46302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23.6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2322-2026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46269</v>
      </c>
      <c r="E214" s="1" t="n">
        <v>46302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67.09999999999999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2026-10-07T02:07:42Z</dcterms:created>
  <dcterms:modified xmlns:dcterms="http://purl.org/dc/terms/" xmlns:xsi="http://www.w3.org/2001/XMLSchema-instance" xsi:type="dcterms:W3CDTF">2026-10-07T02:07:42Z</dcterms:modified>
</cp:coreProperties>
</file>