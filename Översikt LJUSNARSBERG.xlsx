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46270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46270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46270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46270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46270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46270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46270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46270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46270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46270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46270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46270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46270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46270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46270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46270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45536-2024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45578</v>
      </c>
      <c r="E18" s="1" t="n">
        <v>46270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Tvåblad
Fläcknycklar</t>
        </is>
      </c>
      <c r="W18">
        <f>HYPERLINK("https://klasma.github.io/Logging_1864/artfynd/A 45536-2024 artfynd.xlsx", "A 45536-2024")</f>
        <v/>
      </c>
      <c r="X18">
        <f>HYPERLINK("https://klasma.github.io/Logging_1864/kartor/A 45536-2024 karta.png", "A 45536-2024")</f>
        <v/>
      </c>
      <c r="Y18">
        <f>HYPERLINK("https://klasma.github.io/Logging_1864/kartor_geotiff/A 45536-2024 georefererad karta.tif", "A 45536-2024")</f>
        <v/>
      </c>
      <c r="AA18">
        <f>HYPERLINK("https://klasma.github.io/Logging_1864/klagomål/A 45536-2024 FSC-klagomål.docx", "A 45536-2024")</f>
        <v/>
      </c>
      <c r="AB18">
        <f>HYPERLINK("https://klasma.github.io/Logging_1864/klagomålsmail/A 45536-2024 FSC-klagomål mail.docx", "A 45536-2024")</f>
        <v/>
      </c>
      <c r="AC18">
        <f>HYPERLINK("https://klasma.github.io/Logging_1864/tillsyn/A 45536-2024 tillsynsbegäran.docx", "A 45536-2024")</f>
        <v/>
      </c>
      <c r="AD18">
        <f>HYPERLINK("https://klasma.github.io/Logging_1864/tillsynsmail/A 45536-2024 tillsynsbegäran mail.docx", "A 45536-2024")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46270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46270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Tjäder</t>
        </is>
      </c>
      <c r="W20">
        <f>HYPERLINK("https://klasma.github.io/Logging_1864/artfynd/A 33193-2024 artfynd.xlsx", "A 33193-2024")</f>
        <v/>
      </c>
      <c r="X20">
        <f>HYPERLINK("https://klasma.github.io/Logging_1864/kartor/A 33193-2024 karta.png", "A 33193-2024")</f>
        <v/>
      </c>
      <c r="Y20">
        <f>HYPERLINK("https://klasma.github.io/Logging_1864/kartor_geotiff/A 33193-2024 georefererad karta.tif", "A 33193-2024")</f>
        <v/>
      </c>
      <c r="AA20">
        <f>HYPERLINK("https://klasma.github.io/Logging_1864/klagomål/A 33193-2024 FSC-klagomål.docx", "A 33193-2024")</f>
        <v/>
      </c>
      <c r="AB20">
        <f>HYPERLINK("https://klasma.github.io/Logging_1864/klagomålsmail/A 33193-2024 FSC-klagomål mail.docx", "A 33193-2024")</f>
        <v/>
      </c>
      <c r="AC20">
        <f>HYPERLINK("https://klasma.github.io/Logging_1864/tillsyn/A 33193-2024 tillsynsbegäran.docx", "A 33193-2024")</f>
        <v/>
      </c>
      <c r="AD20">
        <f>HYPERLINK("https://klasma.github.io/Logging_1864/tillsynsmail/A 33193-2024 tillsynsbegäran mail.docx", "A 33193-2024")</f>
        <v/>
      </c>
      <c r="AE20">
        <f>HYPERLINK("https://klasma.github.io/Logging_1864/fåglar/A 33193-2024 prioriterade fågelarter.docx", "A 33193-2024")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46270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46270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46270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45537-2024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45578</v>
      </c>
      <c r="E24" s="1" t="n">
        <v>46270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HYPERLINK("https://klasma.github.io/Logging_1864/artfynd/A 45537-2024 artfynd.xlsx", "A 45537-2024")</f>
        <v/>
      </c>
      <c r="X24">
        <f>HYPERLINK("https://klasma.github.io/Logging_1864/kartor/A 45537-2024 karta.png", "A 45537-2024")</f>
        <v/>
      </c>
      <c r="Y24">
        <f>HYPERLINK("https://klasma.github.io/Logging_1864/kartor_geotiff/A 45537-2024 georefererad karta.tif", "A 45537-2024")</f>
        <v/>
      </c>
      <c r="AA24">
        <f>HYPERLINK("https://klasma.github.io/Logging_1864/klagomål/A 45537-2024 FSC-klagomål.docx", "A 45537-2024")</f>
        <v/>
      </c>
      <c r="AB24">
        <f>HYPERLINK("https://klasma.github.io/Logging_1864/klagomålsmail/A 45537-2024 FSC-klagomål mail.docx", "A 45537-2024")</f>
        <v/>
      </c>
      <c r="AC24">
        <f>HYPERLINK("https://klasma.github.io/Logging_1864/tillsyn/A 45537-2024 tillsynsbegäran.docx", "A 45537-2024")</f>
        <v/>
      </c>
      <c r="AD24">
        <f>HYPERLINK("https://klasma.github.io/Logging_1864/tillsynsmail/A 45537-2024 tillsynsbegäran mail.docx", "A 45537-2024")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46270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46270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20797-2022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44701</v>
      </c>
      <c r="E27" s="1" t="n">
        <v>46270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HYPERLINK("https://klasma.github.io/Logging_1864/artfynd/A 20797-2022 artfynd.xlsx", "A 20797-2022")</f>
        <v/>
      </c>
      <c r="X27">
        <f>HYPERLINK("https://klasma.github.io/Logging_1864/kartor/A 20797-2022 karta.png", "A 20797-2022")</f>
        <v/>
      </c>
      <c r="Y27">
        <f>HYPERLINK("https://klasma.github.io/Logging_1864/kartor_geotiff/A 20797-2022 georefererad karta.tif", "A 20797-2022")</f>
        <v/>
      </c>
      <c r="AA27">
        <f>HYPERLINK("https://klasma.github.io/Logging_1864/klagomål/A 20797-2022 FSC-klagomål.docx", "A 20797-2022")</f>
        <v/>
      </c>
      <c r="AB27">
        <f>HYPERLINK("https://klasma.github.io/Logging_1864/klagomålsmail/A 20797-2022 FSC-klagomål mail.docx", "A 20797-2022")</f>
        <v/>
      </c>
      <c r="AC27">
        <f>HYPERLINK("https://klasma.github.io/Logging_1864/tillsyn/A 20797-2022 tillsynsbegäran.docx", "A 20797-2022")</f>
        <v/>
      </c>
      <c r="AD27">
        <f>HYPERLINK("https://klasma.github.io/Logging_1864/tillsynsmail/A 20797-2022 tillsynsbegäran mail.docx", "A 20797-2022")</f>
        <v/>
      </c>
    </row>
    <row r="28" ht="15" customHeight="1">
      <c r="A28" t="inlineStr">
        <is>
          <t>A 24348-2026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46270</v>
      </c>
      <c r="F28" t="inlineStr">
        <is>
          <t>ÖREBRO LÄN</t>
        </is>
      </c>
      <c r="G28" t="inlineStr">
        <is>
          <t>LJUSNARSBERG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HYPERLINK("https://klasma.github.io/Logging_1864/artfynd/A 24348-2026 artfynd.xlsx", "A 24348-2026")</f>
        <v/>
      </c>
      <c r="X28">
        <f>HYPERLINK("https://klasma.github.io/Logging_1864/kartor/A 24348-2026 karta.png", "A 24348-2026")</f>
        <v/>
      </c>
      <c r="Y28">
        <f>HYPERLINK("https://klasma.github.io/Logging_1864/kartor_geotiff/A 24348-2026 georefererad karta.tif", "A 24348-2026")</f>
        <v/>
      </c>
      <c r="AA28">
        <f>HYPERLINK("https://klasma.github.io/Logging_1864/klagomål/A 24348-2026 FSC-klagomål.docx", "A 24348-2026")</f>
        <v/>
      </c>
      <c r="AB28">
        <f>HYPERLINK("https://klasma.github.io/Logging_1864/klagomålsmail/A 24348-2026 FSC-klagomål mail.docx", "A 24348-2026")</f>
        <v/>
      </c>
      <c r="AC28">
        <f>HYPERLINK("https://klasma.github.io/Logging_1864/tillsyn/A 24348-2026 tillsynsbegäran.docx", "A 24348-2026")</f>
        <v/>
      </c>
      <c r="AD28">
        <f>HYPERLINK("https://klasma.github.io/Logging_1864/tillsynsmail/A 24348-2026 tillsynsbegäran mail.docx", "A 24348-2026")</f>
        <v/>
      </c>
      <c r="AE28">
        <f>HYPERLINK("https://klasma.github.io/Logging_1864/fåglar/A 24348-2026 prioriterade fågelarter.docx", "A 24348-2026")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46270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46270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46270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46270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46270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46270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46270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46270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46270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46270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46270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46270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44790</v>
      </c>
      <c r="E41" s="1" t="n">
        <v>46270</v>
      </c>
      <c r="F41" t="inlineStr">
        <is>
          <t>ÖREBRO LÄN</t>
        </is>
      </c>
      <c r="G41" t="inlineStr">
        <is>
          <t>LJUSNARSBERG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46270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25574-2023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45089</v>
      </c>
      <c r="E43" s="1" t="n">
        <v>46270</v>
      </c>
      <c r="F43" t="inlineStr">
        <is>
          <t>ÖREBRO LÄN</t>
        </is>
      </c>
      <c r="G43" t="inlineStr">
        <is>
          <t>LJUSNARSBERG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46270</v>
      </c>
      <c r="F44" t="inlineStr">
        <is>
          <t>ÖREBRO LÄN</t>
        </is>
      </c>
      <c r="G44" t="inlineStr">
        <is>
          <t>LJUSNARSBERG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61794-2024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45649</v>
      </c>
      <c r="E45" s="1" t="n">
        <v>46270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62810-2021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44503</v>
      </c>
      <c r="E46" s="1" t="n">
        <v>46270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46805-2024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45583</v>
      </c>
      <c r="E47" s="1" t="n">
        <v>46270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61580-2023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45265</v>
      </c>
      <c r="E48" s="1" t="n">
        <v>46270</v>
      </c>
      <c r="F48" t="inlineStr">
        <is>
          <t>ÖREBRO LÄN</t>
        </is>
      </c>
      <c r="G48" t="inlineStr">
        <is>
          <t>LJUSNARSBERG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46270</v>
      </c>
      <c r="F49" t="inlineStr">
        <is>
          <t>ÖREBRO LÄN</t>
        </is>
      </c>
      <c r="G49" t="inlineStr">
        <is>
          <t>LJUSNARSBERG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46270</v>
      </c>
      <c r="F50" t="inlineStr">
        <is>
          <t>ÖREBRO LÄN</t>
        </is>
      </c>
      <c r="G50" t="inlineStr">
        <is>
          <t>LJUSNARSBERG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62843-2021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46270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45399</v>
      </c>
      <c r="E52" s="1" t="n">
        <v>46270</v>
      </c>
      <c r="F52" t="inlineStr">
        <is>
          <t>ÖREBRO LÄN</t>
        </is>
      </c>
      <c r="G52" t="inlineStr">
        <is>
          <t>LJUSNARSBERG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46270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12489-2023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44999</v>
      </c>
      <c r="E54" s="1" t="n">
        <v>46270</v>
      </c>
      <c r="F54" t="inlineStr">
        <is>
          <t>ÖREBRO LÄN</t>
        </is>
      </c>
      <c r="G54" t="inlineStr">
        <is>
          <t>LJUSNARSBERG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46270</v>
      </c>
      <c r="F55" t="inlineStr">
        <is>
          <t>ÖREBRO LÄN</t>
        </is>
      </c>
      <c r="G55" t="inlineStr">
        <is>
          <t>LJUSNARSBERG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67746-2021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46270</v>
      </c>
      <c r="F56" t="inlineStr">
        <is>
          <t>ÖREBRO LÄN</t>
        </is>
      </c>
      <c r="G56" t="inlineStr">
        <is>
          <t>LJUSNARSBERG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45124</v>
      </c>
      <c r="E57" s="1" t="n">
        <v>46270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46270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46270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59630-2024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45638</v>
      </c>
      <c r="E60" s="1" t="n">
        <v>46270</v>
      </c>
      <c r="F60" t="inlineStr">
        <is>
          <t>ÖREBRO LÄN</t>
        </is>
      </c>
      <c r="G60" t="inlineStr">
        <is>
          <t>LJUSNARSBERG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46270</v>
      </c>
      <c r="F61" t="inlineStr">
        <is>
          <t>ÖREBRO LÄN</t>
        </is>
      </c>
      <c r="G61" t="inlineStr">
        <is>
          <t>LJUSNARSBERG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26469-2025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45807</v>
      </c>
      <c r="E62" s="1" t="n">
        <v>46270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20673-2025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45776</v>
      </c>
      <c r="E63" s="1" t="n">
        <v>46270</v>
      </c>
      <c r="F63" t="inlineStr">
        <is>
          <t>ÖREBRO LÄN</t>
        </is>
      </c>
      <c r="G63" t="inlineStr">
        <is>
          <t>LJUSNARSBERG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25671-2024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45463</v>
      </c>
      <c r="E64" s="1" t="n">
        <v>46270</v>
      </c>
      <c r="F64" t="inlineStr">
        <is>
          <t>ÖREBRO LÄN</t>
        </is>
      </c>
      <c r="G64" t="inlineStr">
        <is>
          <t>LJUSNARSBERG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40477-2025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45895</v>
      </c>
      <c r="E65" s="1" t="n">
        <v>46270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11.9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40477-2025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45895</v>
      </c>
      <c r="E66" s="1" t="n">
        <v>46270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46270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40852-2025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46270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41032-2025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46270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37148-2023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46270</v>
      </c>
      <c r="F70" t="inlineStr">
        <is>
          <t>ÖREBRO LÄN</t>
        </is>
      </c>
      <c r="G70" t="inlineStr">
        <is>
          <t>LJUSNARSBERG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29572-2025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46270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46270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46270</v>
      </c>
      <c r="F73" t="inlineStr">
        <is>
          <t>ÖREBRO LÄN</t>
        </is>
      </c>
      <c r="G73" t="inlineStr">
        <is>
          <t>LJUSNARSBERG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40964-2025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46270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45827</v>
      </c>
      <c r="E75" s="1" t="n">
        <v>46270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30002-2025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46270</v>
      </c>
      <c r="F76" t="inlineStr">
        <is>
          <t>ÖREBRO LÄN</t>
        </is>
      </c>
      <c r="G76" t="inlineStr">
        <is>
          <t>LJUSNARSBERG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30430-2025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45827</v>
      </c>
      <c r="E77" s="1" t="n">
        <v>46270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46270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8.199999999999999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22887-2024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45448</v>
      </c>
      <c r="E79" s="1" t="n">
        <v>46270</v>
      </c>
      <c r="F79" t="inlineStr">
        <is>
          <t>ÖREBRO LÄN</t>
        </is>
      </c>
      <c r="G79" t="inlineStr">
        <is>
          <t>LJUSNARSBERG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41420-2025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46270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18.1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42287-2025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45903</v>
      </c>
      <c r="E81" s="1" t="n">
        <v>46270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45575</v>
      </c>
      <c r="E82" s="1" t="n">
        <v>46270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8.199999999999999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45909</v>
      </c>
      <c r="E83" s="1" t="n">
        <v>46270</v>
      </c>
      <c r="F83" t="inlineStr">
        <is>
          <t>ÖREBRO LÄN</t>
        </is>
      </c>
      <c r="G83" t="inlineStr">
        <is>
          <t>LJUSNARSBERG</t>
        </is>
      </c>
      <c r="I83" t="n">
        <v>17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52366-2024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45608</v>
      </c>
      <c r="E84" s="1" t="n">
        <v>46270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46270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29721-2023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46270</v>
      </c>
      <c r="F86" t="inlineStr">
        <is>
          <t>ÖREBRO LÄN</t>
        </is>
      </c>
      <c r="G86" t="inlineStr">
        <is>
          <t>LJUSNARSBERG</t>
        </is>
      </c>
      <c r="H86" t="inlineStr">
        <is>
          <t>Sveaskog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33622-2025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46270</v>
      </c>
      <c r="F87" t="inlineStr">
        <is>
          <t>ÖREBRO LÄN</t>
        </is>
      </c>
      <c r="G87" t="inlineStr">
        <is>
          <t>LJUSNARSBERG</t>
        </is>
      </c>
      <c r="H87" t="inlineStr">
        <is>
          <t>Kyrkan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45925</v>
      </c>
      <c r="E88" s="1" t="n">
        <v>46270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35151-2023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45145</v>
      </c>
      <c r="E89" s="1" t="n">
        <v>46270</v>
      </c>
      <c r="F89" t="inlineStr">
        <is>
          <t>ÖREBRO LÄN</t>
        </is>
      </c>
      <c r="G89" t="inlineStr">
        <is>
          <t>LJUSNARSBERG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41610-2025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45901</v>
      </c>
      <c r="E90" s="1" t="n">
        <v>46270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23346-2022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44720</v>
      </c>
      <c r="E91" s="1" t="n">
        <v>46270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25098-2023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45086</v>
      </c>
      <c r="E92" s="1" t="n">
        <v>46270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46270</v>
      </c>
      <c r="F93" t="inlineStr">
        <is>
          <t>ÖREBRO LÄN</t>
        </is>
      </c>
      <c r="G93" t="inlineStr">
        <is>
          <t>LJUSNARSBERG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45933</v>
      </c>
      <c r="E94" s="1" t="n">
        <v>46270</v>
      </c>
      <c r="F94" t="inlineStr">
        <is>
          <t>ÖREBRO LÄN</t>
        </is>
      </c>
      <c r="G94" t="inlineStr">
        <is>
          <t>LJUSNARSBERG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48353-2022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46270</v>
      </c>
      <c r="F95" t="inlineStr">
        <is>
          <t>ÖREBRO LÄN</t>
        </is>
      </c>
      <c r="G95" t="inlineStr">
        <is>
          <t>LJUSNARSBERG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46270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46270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46037</v>
      </c>
      <c r="E98" s="1" t="n">
        <v>46270</v>
      </c>
      <c r="F98" t="inlineStr">
        <is>
          <t>ÖREBRO LÄN</t>
        </is>
      </c>
      <c r="G98" t="inlineStr">
        <is>
          <t>LJUSNARSBERG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46270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46270</v>
      </c>
      <c r="F100" t="inlineStr">
        <is>
          <t>ÖREBRO LÄN</t>
        </is>
      </c>
      <c r="G100" t="inlineStr">
        <is>
          <t>LJUSNARSBERG</t>
        </is>
      </c>
      <c r="H100" t="inlineStr">
        <is>
          <t>Sveaskog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45934</v>
      </c>
      <c r="E101" s="1" t="n">
        <v>46270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57129-2021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44482</v>
      </c>
      <c r="E102" s="1" t="n">
        <v>46270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45659</v>
      </c>
      <c r="E103" s="1" t="n">
        <v>46270</v>
      </c>
      <c r="F103" t="inlineStr">
        <is>
          <t>ÖREBRO LÄN</t>
        </is>
      </c>
      <c r="G103" t="inlineStr">
        <is>
          <t>LJUSNARSBERG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46270</v>
      </c>
      <c r="F104" t="inlineStr">
        <is>
          <t>ÖREBRO LÄN</t>
        </is>
      </c>
      <c r="G104" t="inlineStr">
        <is>
          <t>LJUSNARSBERG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50865-2025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45946</v>
      </c>
      <c r="E105" s="1" t="n">
        <v>46270</v>
      </c>
      <c r="F105" t="inlineStr">
        <is>
          <t>ÖREBRO LÄN</t>
        </is>
      </c>
      <c r="G105" t="inlineStr">
        <is>
          <t>LJUSNARSBERG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45951</v>
      </c>
      <c r="E106" s="1" t="n">
        <v>46270</v>
      </c>
      <c r="F106" t="inlineStr">
        <is>
          <t>ÖREBRO LÄN</t>
        </is>
      </c>
      <c r="G106" t="inlineStr">
        <is>
          <t>LJUSNARSBERG</t>
        </is>
      </c>
      <c r="I106" t="n">
        <v>10.8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59629-2024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45638</v>
      </c>
      <c r="E107" s="1" t="n">
        <v>46270</v>
      </c>
      <c r="F107" t="inlineStr">
        <is>
          <t>ÖREBRO LÄN</t>
        </is>
      </c>
      <c r="G107" t="inlineStr">
        <is>
          <t>LJUSNARSBERG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17276-2023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45035</v>
      </c>
      <c r="E108" s="1" t="n">
        <v>46270</v>
      </c>
      <c r="F108" t="inlineStr">
        <is>
          <t>ÖREBRO LÄN</t>
        </is>
      </c>
      <c r="G108" t="inlineStr">
        <is>
          <t>LJUSNARSBERG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5094-2026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46049</v>
      </c>
      <c r="E109" s="1" t="n">
        <v>46270</v>
      </c>
      <c r="F109" t="inlineStr">
        <is>
          <t>ÖREBRO LÄN</t>
        </is>
      </c>
      <c r="G109" t="inlineStr">
        <is>
          <t>LJUSNARSBERG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24921-2023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45085</v>
      </c>
      <c r="E110" s="1" t="n">
        <v>46270</v>
      </c>
      <c r="F110" t="inlineStr">
        <is>
          <t>ÖREBRO LÄN</t>
        </is>
      </c>
      <c r="G110" t="inlineStr">
        <is>
          <t>LJUSNARSBERG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19368-2025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45769</v>
      </c>
      <c r="E111" s="1" t="n">
        <v>46270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45980</v>
      </c>
      <c r="E112" s="1" t="n">
        <v>46270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8.5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59497-2024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45638</v>
      </c>
      <c r="E113" s="1" t="n">
        <v>46270</v>
      </c>
      <c r="F113" t="inlineStr">
        <is>
          <t>ÖREBRO LÄN</t>
        </is>
      </c>
      <c r="G113" t="inlineStr">
        <is>
          <t>LJUSNARSBERG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46270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33979-2023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45124</v>
      </c>
      <c r="E115" s="1" t="n">
        <v>46270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26617-2022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46270</v>
      </c>
      <c r="F116" t="inlineStr">
        <is>
          <t>ÖREBRO LÄN</t>
        </is>
      </c>
      <c r="G116" t="inlineStr">
        <is>
          <t>LJUSNARSBERG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59495-2024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45638</v>
      </c>
      <c r="E117" s="1" t="n">
        <v>46270</v>
      </c>
      <c r="F117" t="inlineStr">
        <is>
          <t>ÖREBRO LÄN</t>
        </is>
      </c>
      <c r="G117" t="inlineStr">
        <is>
          <t>LJUSNARSBERG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46270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44847</v>
      </c>
      <c r="E119" s="1" t="n">
        <v>46270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46270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44880</v>
      </c>
      <c r="E121" s="1" t="n">
        <v>46270</v>
      </c>
      <c r="F121" t="inlineStr">
        <is>
          <t>ÖREBRO LÄN</t>
        </is>
      </c>
      <c r="G121" t="inlineStr">
        <is>
          <t>LJUSNARSBERG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62679-2022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44917</v>
      </c>
      <c r="E122" s="1" t="n">
        <v>46270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44565</v>
      </c>
      <c r="E123" s="1" t="n">
        <v>46270</v>
      </c>
      <c r="F123" t="inlineStr">
        <is>
          <t>ÖREBRO LÄN</t>
        </is>
      </c>
      <c r="G123" t="inlineStr">
        <is>
          <t>LJUSNARSBERG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45106</v>
      </c>
      <c r="E124" s="1" t="n">
        <v>46270</v>
      </c>
      <c r="F124" t="inlineStr">
        <is>
          <t>ÖREBRO LÄN</t>
        </is>
      </c>
      <c r="G124" t="inlineStr">
        <is>
          <t>LJUSNARSBERG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46082-2024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45581</v>
      </c>
      <c r="E125" s="1" t="n">
        <v>46270</v>
      </c>
      <c r="F125" t="inlineStr">
        <is>
          <t>ÖREBRO LÄN</t>
        </is>
      </c>
      <c r="G125" t="inlineStr">
        <is>
          <t>LJUSNARSBERG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44564</v>
      </c>
      <c r="E126" s="1" t="n">
        <v>46270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33861-2022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44790</v>
      </c>
      <c r="E127" s="1" t="n">
        <v>46270</v>
      </c>
      <c r="F127" t="inlineStr">
        <is>
          <t>ÖREBRO LÄN</t>
        </is>
      </c>
      <c r="G127" t="inlineStr">
        <is>
          <t>LJUSNARSBERG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46133</v>
      </c>
      <c r="E128" s="1" t="n">
        <v>46270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14.5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45217</v>
      </c>
      <c r="E129" s="1" t="n">
        <v>46270</v>
      </c>
      <c r="F129" t="inlineStr">
        <is>
          <t>ÖREBRO LÄN</t>
        </is>
      </c>
      <c r="G129" t="inlineStr">
        <is>
          <t>LJUSNARSBERG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43638-2025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46270</v>
      </c>
      <c r="F130" t="inlineStr">
        <is>
          <t>ÖREBRO LÄN</t>
        </is>
      </c>
      <c r="G130" t="inlineStr">
        <is>
          <t>LJUSNARSBERG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44760-2024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45574</v>
      </c>
      <c r="E131" s="1" t="n">
        <v>46270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11.4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19937-2026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46136</v>
      </c>
      <c r="E132" s="1" t="n">
        <v>46270</v>
      </c>
      <c r="F132" t="inlineStr">
        <is>
          <t>ÖREBRO LÄN</t>
        </is>
      </c>
      <c r="G132" t="inlineStr">
        <is>
          <t>LJUSNARSBERG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36108-2024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45533</v>
      </c>
      <c r="E133" s="1" t="n">
        <v>46270</v>
      </c>
      <c r="F133" t="inlineStr">
        <is>
          <t>ÖREBRO LÄN</t>
        </is>
      </c>
      <c r="G133" t="inlineStr">
        <is>
          <t>LJUSNARSBERG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62667-2022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44917</v>
      </c>
      <c r="E134" s="1" t="n">
        <v>46270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12482-2023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44999</v>
      </c>
      <c r="E135" s="1" t="n">
        <v>46270</v>
      </c>
      <c r="F135" t="inlineStr">
        <is>
          <t>ÖREBRO LÄN</t>
        </is>
      </c>
      <c r="G135" t="inlineStr">
        <is>
          <t>LJUSNARSBERG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46085-2024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45581</v>
      </c>
      <c r="E136" s="1" t="n">
        <v>46270</v>
      </c>
      <c r="F136" t="inlineStr">
        <is>
          <t>ÖREBRO LÄN</t>
        </is>
      </c>
      <c r="G136" t="inlineStr">
        <is>
          <t>LJUSNARSBERG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46270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17.8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19936-2026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46136</v>
      </c>
      <c r="E138" s="1" t="n">
        <v>46270</v>
      </c>
      <c r="F138" t="inlineStr">
        <is>
          <t>ÖREBRO LÄN</t>
        </is>
      </c>
      <c r="G138" t="inlineStr">
        <is>
          <t>LJUSNARSBERG</t>
        </is>
      </c>
      <c r="H138" t="inlineStr">
        <is>
          <t>Sveaskog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45394</v>
      </c>
      <c r="E139" s="1" t="n">
        <v>46270</v>
      </c>
      <c r="F139" t="inlineStr">
        <is>
          <t>ÖREBRO LÄN</t>
        </is>
      </c>
      <c r="G139" t="inlineStr">
        <is>
          <t>LJUSNARSBERG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27343-2025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46270</v>
      </c>
      <c r="F140" t="inlineStr">
        <is>
          <t>ÖREBRO LÄN</t>
        </is>
      </c>
      <c r="G140" t="inlineStr">
        <is>
          <t>LJUSNARSBERG</t>
        </is>
      </c>
      <c r="H140" t="inlineStr">
        <is>
          <t>Sveaskog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45239</v>
      </c>
      <c r="E141" s="1" t="n">
        <v>46270</v>
      </c>
      <c r="F141" t="inlineStr">
        <is>
          <t>ÖREBRO LÄN</t>
        </is>
      </c>
      <c r="G141" t="inlineStr">
        <is>
          <t>LJUSNARSBERG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18938-2022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44690</v>
      </c>
      <c r="E142" s="1" t="n">
        <v>46270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58823-2022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46270</v>
      </c>
      <c r="F143" t="inlineStr">
        <is>
          <t>ÖREBRO LÄN</t>
        </is>
      </c>
      <c r="G143" t="inlineStr">
        <is>
          <t>LJUSNARSBERG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21202-2026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46146</v>
      </c>
      <c r="E144" s="1" t="n">
        <v>46270</v>
      </c>
      <c r="F144" t="inlineStr">
        <is>
          <t>ÖREBRO LÄN</t>
        </is>
      </c>
      <c r="G144" t="inlineStr">
        <is>
          <t>LJUSNARSBERG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45578</v>
      </c>
      <c r="E145" s="1" t="n">
        <v>46270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45578</v>
      </c>
      <c r="E146" s="1" t="n">
        <v>46270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21186-2026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46146</v>
      </c>
      <c r="E147" s="1" t="n">
        <v>46270</v>
      </c>
      <c r="F147" t="inlineStr">
        <is>
          <t>ÖREBRO LÄN</t>
        </is>
      </c>
      <c r="G147" t="inlineStr">
        <is>
          <t>LJUSNARSBERG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46270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33976-2023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45124</v>
      </c>
      <c r="E149" s="1" t="n">
        <v>46270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47017-2025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45929</v>
      </c>
      <c r="E150" s="1" t="n">
        <v>46270</v>
      </c>
      <c r="F150" t="inlineStr">
        <is>
          <t>ÖREBRO LÄN</t>
        </is>
      </c>
      <c r="G150" t="inlineStr">
        <is>
          <t>LJUSNARSBERG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22366-2026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46154</v>
      </c>
      <c r="E151" s="1" t="n">
        <v>46270</v>
      </c>
      <c r="F151" t="inlineStr">
        <is>
          <t>ÖREBRO LÄN</t>
        </is>
      </c>
      <c r="G151" t="inlineStr">
        <is>
          <t>LJUSNARSBERG</t>
        </is>
      </c>
      <c r="I151" t="n">
        <v>14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46270</v>
      </c>
      <c r="F152" t="inlineStr">
        <is>
          <t>ÖREBRO LÄN</t>
        </is>
      </c>
      <c r="G152" t="inlineStr">
        <is>
          <t>LJUSNARSBERG</t>
        </is>
      </c>
      <c r="H152" t="inlineStr">
        <is>
          <t>Kommuner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53595-2024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45614</v>
      </c>
      <c r="E153" s="1" t="n">
        <v>46270</v>
      </c>
      <c r="F153" t="inlineStr">
        <is>
          <t>ÖREBRO LÄN</t>
        </is>
      </c>
      <c r="G153" t="inlineStr">
        <is>
          <t>LJUSNARSBERG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23633-2026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46163</v>
      </c>
      <c r="E154" s="1" t="n">
        <v>46270</v>
      </c>
      <c r="F154" t="inlineStr">
        <is>
          <t>ÖREBRO LÄN</t>
        </is>
      </c>
      <c r="G154" t="inlineStr">
        <is>
          <t>LJUSNARSBERG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46270</v>
      </c>
      <c r="F155" t="inlineStr">
        <is>
          <t>ÖREBRO LÄN</t>
        </is>
      </c>
      <c r="G155" t="inlineStr">
        <is>
          <t>LJUSNARSBERG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46167</v>
      </c>
      <c r="E156" s="1" t="n">
        <v>46270</v>
      </c>
      <c r="F156" t="inlineStr">
        <is>
          <t>ÖREBRO LÄN</t>
        </is>
      </c>
      <c r="G156" t="inlineStr">
        <is>
          <t>LJUSNARSBERG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24343-2026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46167</v>
      </c>
      <c r="E157" s="1" t="n">
        <v>46270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46167</v>
      </c>
      <c r="E158" s="1" t="n">
        <v>46270</v>
      </c>
      <c r="F158" t="inlineStr">
        <is>
          <t>ÖREBRO LÄN</t>
        </is>
      </c>
      <c r="G158" t="inlineStr">
        <is>
          <t>LJUSNARSBERG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18932-2022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44690</v>
      </c>
      <c r="E159" s="1" t="n">
        <v>46270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30414-2023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45111</v>
      </c>
      <c r="E160" s="1" t="n">
        <v>46270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12.8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62421-2022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44916</v>
      </c>
      <c r="E161" s="1" t="n">
        <v>46270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45347</v>
      </c>
      <c r="E162" s="1" t="n">
        <v>46270</v>
      </c>
      <c r="F162" t="inlineStr">
        <is>
          <t>ÖREBRO LÄN</t>
        </is>
      </c>
      <c r="G162" t="inlineStr">
        <is>
          <t>LJUSNARSBERG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26379-2026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46183</v>
      </c>
      <c r="E163" s="1" t="n">
        <v>46270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26847-2026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46185</v>
      </c>
      <c r="E164" s="1" t="n">
        <v>46270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45030</v>
      </c>
      <c r="E165" s="1" t="n">
        <v>46270</v>
      </c>
      <c r="F165" t="inlineStr">
        <is>
          <t>ÖREBRO LÄN</t>
        </is>
      </c>
      <c r="G165" t="inlineStr">
        <is>
          <t>LJUSNARSBERG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46270</v>
      </c>
      <c r="F166" t="inlineStr">
        <is>
          <t>ÖREBRO LÄN</t>
        </is>
      </c>
      <c r="G166" t="inlineStr">
        <is>
          <t>LJUSNARSBERG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44720</v>
      </c>
      <c r="E167" s="1" t="n">
        <v>46270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11.2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46270</v>
      </c>
      <c r="F168" t="inlineStr">
        <is>
          <t>ÖREBRO LÄN</t>
        </is>
      </c>
      <c r="G168" t="inlineStr">
        <is>
          <t>LJUSNARSBERG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44468</v>
      </c>
      <c r="E169" s="1" t="n">
        <v>46270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7903-2022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44607</v>
      </c>
      <c r="E170" s="1" t="n">
        <v>46270</v>
      </c>
      <c r="F170" t="inlineStr">
        <is>
          <t>ÖREBRO LÄN</t>
        </is>
      </c>
      <c r="G170" t="inlineStr">
        <is>
          <t>LJUSNARSBERG</t>
        </is>
      </c>
      <c r="H170" t="inlineStr">
        <is>
          <t>Kyrkan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42761-2023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45177</v>
      </c>
      <c r="E171" s="1" t="n">
        <v>46270</v>
      </c>
      <c r="F171" t="inlineStr">
        <is>
          <t>ÖREBRO LÄN</t>
        </is>
      </c>
      <c r="G171" t="inlineStr">
        <is>
          <t>LJUSNARSBERG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46246</v>
      </c>
      <c r="E172" s="1" t="n">
        <v>46270</v>
      </c>
      <c r="F172" t="inlineStr">
        <is>
          <t>ÖREBRO LÄN</t>
        </is>
      </c>
      <c r="G172" t="inlineStr">
        <is>
          <t>LJUSNARSBERG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33488-2026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46247</v>
      </c>
      <c r="E173" s="1" t="n">
        <v>46270</v>
      </c>
      <c r="F173" t="inlineStr">
        <is>
          <t>ÖREBRO LÄN</t>
        </is>
      </c>
      <c r="G173" t="inlineStr">
        <is>
          <t>LJUSNARSBERG</t>
        </is>
      </c>
      <c r="H173" t="inlineStr">
        <is>
          <t>Kyrkan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46270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31295-2023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45103</v>
      </c>
      <c r="E175" s="1" t="n">
        <v>46270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45764</v>
      </c>
      <c r="E176" s="1" t="n">
        <v>46270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33753-2026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46251</v>
      </c>
      <c r="E177" s="1" t="n">
        <v>46270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44694</v>
      </c>
      <c r="E178" s="1" t="n">
        <v>46270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46801-2024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45583</v>
      </c>
      <c r="E179" s="1" t="n">
        <v>46270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46270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10.4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28778-2024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45478</v>
      </c>
      <c r="E181" s="1" t="n">
        <v>46270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45593</v>
      </c>
      <c r="E182" s="1" t="n">
        <v>46270</v>
      </c>
      <c r="F182" t="inlineStr">
        <is>
          <t>ÖREBRO LÄN</t>
        </is>
      </c>
      <c r="G182" t="inlineStr">
        <is>
          <t>LJUSNARSBERG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45698</v>
      </c>
      <c r="E183" s="1" t="n">
        <v>46270</v>
      </c>
      <c r="F183" t="inlineStr">
        <is>
          <t>ÖREBRO LÄN</t>
        </is>
      </c>
      <c r="G183" t="inlineStr">
        <is>
          <t>LJUSNARSBERG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45387</v>
      </c>
      <c r="E184" s="1" t="n">
        <v>46270</v>
      </c>
      <c r="F184" t="inlineStr">
        <is>
          <t>ÖREBRO LÄN</t>
        </is>
      </c>
      <c r="G184" t="inlineStr">
        <is>
          <t>LJUSNARSBERG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46270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34926-2023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45142</v>
      </c>
      <c r="E186" s="1" t="n">
        <v>46270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44956</v>
      </c>
      <c r="E187" s="1" t="n">
        <v>46270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31763-2023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45106</v>
      </c>
      <c r="E188" s="1" t="n">
        <v>46270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11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46270</v>
      </c>
      <c r="F189" t="inlineStr">
        <is>
          <t>ÖREBRO LÄN</t>
        </is>
      </c>
      <c r="G189" t="inlineStr">
        <is>
          <t>LJUSNARSBERG</t>
        </is>
      </c>
      <c r="H189" t="inlineStr">
        <is>
          <t>Sveaskog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880-2024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45376</v>
      </c>
      <c r="E190" s="1" t="n">
        <v>46270</v>
      </c>
      <c r="F190" t="inlineStr">
        <is>
          <t>ÖREBRO LÄN</t>
        </is>
      </c>
      <c r="G190" t="inlineStr">
        <is>
          <t>LJUSNARSBERG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3541-2022</t>
        </is>
      </c>
      <c r="B191" t="inlineStr">
        <is>
          <t>samrådsanmälan</t>
        </is>
      </c>
      <c r="C191" t="inlineStr">
        <is>
          <t>Skogsbilväg</t>
        </is>
      </c>
      <c r="D191" s="1" t="n">
        <v>44734</v>
      </c>
      <c r="E191" s="1" t="n">
        <v>46270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10473-2021</t>
        </is>
      </c>
      <c r="B192" t="inlineStr">
        <is>
          <t>samrådsanmälan</t>
        </is>
      </c>
      <c r="C192" t="inlineStr">
        <is>
          <t>Skogsbilväg</t>
        </is>
      </c>
      <c r="D192" s="1" t="n">
        <v>44559</v>
      </c>
      <c r="E192" s="1" t="n">
        <v>46270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3528-2023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45205</v>
      </c>
      <c r="E193" s="1" t="n">
        <v>46270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39.4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7278-2021</t>
        </is>
      </c>
      <c r="B194" t="inlineStr">
        <is>
          <t>samrådsanmälan</t>
        </is>
      </c>
      <c r="C194" t="inlineStr">
        <is>
          <t>Åtgärd i nyckelbiotop</t>
        </is>
      </c>
      <c r="D194" s="1" t="n">
        <v>44467</v>
      </c>
      <c r="E194" s="1" t="n">
        <v>46270</v>
      </c>
      <c r="F194" t="inlineStr">
        <is>
          <t>ÖREBRO LÄN</t>
        </is>
      </c>
      <c r="G194" t="inlineStr">
        <is>
          <t>LJUSNARSBERG</t>
        </is>
      </c>
      <c r="H194" t="inlineStr">
        <is>
          <t>Kommuner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410-2022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44585</v>
      </c>
      <c r="E195" s="1" t="n">
        <v>46270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4521-2023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45275</v>
      </c>
      <c r="E196" s="1" t="n">
        <v>46270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20.7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1099-2022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44615</v>
      </c>
      <c r="E197" s="1" t="n">
        <v>46270</v>
      </c>
      <c r="F197" t="inlineStr">
        <is>
          <t>ÖREBRO LÄN</t>
        </is>
      </c>
      <c r="G197" t="inlineStr">
        <is>
          <t>LJUSNARSBERG</t>
        </is>
      </c>
      <c r="H197" t="inlineStr">
        <is>
          <t>Sveaskog</t>
        </is>
      </c>
      <c r="I197" t="n">
        <v>147.4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7277-2021</t>
        </is>
      </c>
      <c r="B198" t="inlineStr">
        <is>
          <t>samrådsanmälan</t>
        </is>
      </c>
      <c r="C198" t="inlineStr">
        <is>
          <t>Åtgärd i nyckelbiotop</t>
        </is>
      </c>
      <c r="D198" s="1" t="n">
        <v>44467</v>
      </c>
      <c r="E198" s="1" t="n">
        <v>46270</v>
      </c>
      <c r="F198" t="inlineStr">
        <is>
          <t>ÖREBRO LÄN</t>
        </is>
      </c>
      <c r="G198" t="inlineStr">
        <is>
          <t>LJUSNARSBERG</t>
        </is>
      </c>
      <c r="H198" t="inlineStr">
        <is>
          <t>Kommuner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2836-2023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45167</v>
      </c>
      <c r="E199" s="1" t="n">
        <v>46270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25.2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707-2025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45720</v>
      </c>
      <c r="E200" s="1" t="n">
        <v>46270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162.6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1972-2025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45832</v>
      </c>
      <c r="E201" s="1" t="n">
        <v>46270</v>
      </c>
      <c r="F201" t="inlineStr">
        <is>
          <t>ÖREBRO LÄN</t>
        </is>
      </c>
      <c r="G201" t="inlineStr">
        <is>
          <t>LJUSNARSBERG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3578-2025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46010</v>
      </c>
      <c r="E202" s="1" t="n">
        <v>46270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603-2026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46085</v>
      </c>
      <c r="E203" s="1" t="n">
        <v>46270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125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1743-2026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46185</v>
      </c>
      <c r="E204" s="1" t="n">
        <v>46270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>
      <c r="A205" t="inlineStr">
        <is>
          <t>S 1624-2026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46174</v>
      </c>
      <c r="E205" s="1" t="n">
        <v>46270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2026-09-05T02:03:42Z</dcterms:created>
  <dcterms:modified xmlns:dcterms="http://purl.org/dc/terms/" xmlns:xsi="http://www.w3.org/2001/XMLSchema-instance" xsi:type="dcterms:W3CDTF">2026-09-05T02:03:42Z</dcterms:modified>
</cp:coreProperties>
</file>