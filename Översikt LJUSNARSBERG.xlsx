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46322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46322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46322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46322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46322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46322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46322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46322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45536-2024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45578</v>
      </c>
      <c r="E16" s="1" t="n">
        <v>46322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Tvåblad
Fläcknycklar</t>
        </is>
      </c>
      <c r="W16">
        <f>HYPERLINK("https://klasma.github.io/Logging_1864/artfynd/A 45536-2024 artfynd.xlsx", "A 45536-2024")</f>
        <v/>
      </c>
      <c r="X16">
        <f>HYPERLINK("https://klasma.github.io/Logging_1864/kartor/A 45536-2024 karta.png", "A 45536-2024")</f>
        <v/>
      </c>
      <c r="Y16">
        <f>HYPERLINK("https://klasma.github.io/Logging_1864/kartor_geotiff/A 45536-2024 georefererad karta.tif", "A 45536-2024")</f>
        <v/>
      </c>
      <c r="AA16">
        <f>HYPERLINK("https://klasma.github.io/Logging_1864/klagomål/A 45536-2024 FSC-klagomål.docx", "A 45536-2024")</f>
        <v/>
      </c>
      <c r="AB16">
        <f>HYPERLINK("https://klasma.github.io/Logging_1864/klagomålsmail/A 45536-2024 FSC-klagomål mail.docx", "A 45536-2024")</f>
        <v/>
      </c>
      <c r="AC16">
        <f>HYPERLINK("https://klasma.github.io/Logging_1864/tillsyn/A 45536-2024 tillsynsbegäran.docx", "A 45536-2024")</f>
        <v/>
      </c>
      <c r="AD16">
        <f>HYPERLINK("https://klasma.github.io/Logging_1864/tillsynsmail/A 45536-2024 tillsynsbegäran mail.docx", "A 45536-2024")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46322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62105-2022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44920</v>
      </c>
      <c r="E18" s="1" t="n">
        <v>46322</v>
      </c>
      <c r="F18" t="inlineStr">
        <is>
          <t>ÖREBRO LÄN</t>
        </is>
      </c>
      <c r="G18" t="inlineStr">
        <is>
          <t>LJUSNARSBERG</t>
        </is>
      </c>
      <c r="I18" t="n">
        <v>5.7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7</v>
      </c>
      <c r="U18" t="n">
        <v>7</v>
      </c>
      <c r="V18" s="2" t="inlineStr">
        <is>
          <t>Spillkråka
Kungsfågel</t>
        </is>
      </c>
      <c r="W18">
        <f>HYPERLINK("https://klasma.github.io/Logging_1864/artfynd/A 62105-2022 artfynd.xlsx", "A 62105-2022")</f>
        <v/>
      </c>
      <c r="X18">
        <f>HYPERLINK("https://klasma.github.io/Logging_1864/kartor/A 62105-2022 karta.png", "A 62105-2022")</f>
        <v/>
      </c>
      <c r="Y18">
        <f>HYPERLINK("https://klasma.github.io/Logging_1864/kartor_geotiff/A 62105-2022 georefererad karta.tif", "A 62105-2022")</f>
        <v/>
      </c>
      <c r="AA18">
        <f>HYPERLINK("https://klasma.github.io/Logging_1864/klagomål/A 62105-2022 FSC-klagomål.docx", "A 62105-2022")</f>
        <v/>
      </c>
      <c r="AB18">
        <f>HYPERLINK("https://klasma.github.io/Logging_1864/klagomålsmail/A 62105-2022 FSC-klagomål mail.docx", "A 62105-2022")</f>
        <v/>
      </c>
      <c r="AC18">
        <f>HYPERLINK("https://klasma.github.io/Logging_1864/tillsyn/A 62105-2022 tillsynsbegäran.docx", "A 62105-2022")</f>
        <v/>
      </c>
      <c r="AD18">
        <f>HYPERLINK("https://klasma.github.io/Logging_1864/tillsynsmail/A 62105-2022 tillsynsbegäran mail.docx", "A 62105-2022")</f>
        <v/>
      </c>
      <c r="AE18">
        <f>HYPERLINK("https://klasma.github.io/Logging_1864/fåglar/A 62105-2022 prioriterade fågelarter.docx", "A 62105-2022")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46322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46322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46322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39095-2022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44817</v>
      </c>
      <c r="E22" s="1" t="n">
        <v>46322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Mattlummer</t>
        </is>
      </c>
      <c r="W22">
        <f>HYPERLINK("https://klasma.github.io/Logging_1864/artfynd/A 39095-2022 artfynd.xlsx", "A 39095-2022")</f>
        <v/>
      </c>
      <c r="X22">
        <f>HYPERLINK("https://klasma.github.io/Logging_1864/kartor/A 39095-2022 karta.png", "A 39095-2022")</f>
        <v/>
      </c>
      <c r="Y22">
        <f>HYPERLINK("https://klasma.github.io/Logging_1864/kartor_geotiff/A 39095-2022 georefererad karta.tif", "A 39095-2022")</f>
        <v/>
      </c>
      <c r="AA22">
        <f>HYPERLINK("https://klasma.github.io/Logging_1864/klagomål/A 39095-2022 FSC-klagomål.docx", "A 39095-2022")</f>
        <v/>
      </c>
      <c r="AB22">
        <f>HYPERLINK("https://klasma.github.io/Logging_1864/klagomålsmail/A 39095-2022 FSC-klagomål mail.docx", "A 39095-2022")</f>
        <v/>
      </c>
      <c r="AC22">
        <f>HYPERLINK("https://klasma.github.io/Logging_1864/tillsyn/A 39095-2022 tillsynsbegäran.docx", "A 39095-2022")</f>
        <v/>
      </c>
      <c r="AD22">
        <f>HYPERLINK("https://klasma.github.io/Logging_1864/tillsynsmail/A 39095-2022 tillsynsbegäran mail.docx", "A 39095-2022")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46322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46322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46322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46322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46322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46322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46322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46322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46322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46322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46322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46322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46322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46322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46322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46322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46322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46322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46322</v>
      </c>
      <c r="F42" t="inlineStr">
        <is>
          <t>ÖREBRO LÄN</t>
        </is>
      </c>
      <c r="G42" t="inlineStr">
        <is>
          <t>LJUSNARSBERG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23372-2022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44720</v>
      </c>
      <c r="E43" s="1" t="n">
        <v>46322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11.2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46322</v>
      </c>
      <c r="F44" t="inlineStr">
        <is>
          <t>ÖREBRO LÄN</t>
        </is>
      </c>
      <c r="G44" t="inlineStr">
        <is>
          <t>LJUSNARSBERG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46322</v>
      </c>
      <c r="F45" t="inlineStr">
        <is>
          <t>ÖREBRO LÄN</t>
        </is>
      </c>
      <c r="G45" t="inlineStr">
        <is>
          <t>LJUSNARSBERG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46322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46322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46322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46322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46322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46322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46322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25574-2023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45089</v>
      </c>
      <c r="E53" s="1" t="n">
        <v>46322</v>
      </c>
      <c r="F53" t="inlineStr">
        <is>
          <t>ÖREBRO LÄN</t>
        </is>
      </c>
      <c r="G53" t="inlineStr">
        <is>
          <t>LJUSNARSBERG</t>
        </is>
      </c>
      <c r="H53" t="inlineStr">
        <is>
          <t>Sveaskog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46322</v>
      </c>
      <c r="F54" t="inlineStr">
        <is>
          <t>ÖREBRO LÄN</t>
        </is>
      </c>
      <c r="G54" t="inlineStr">
        <is>
          <t>LJUSNARSBERG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41383-2025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46322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46322</v>
      </c>
      <c r="F56" t="inlineStr">
        <is>
          <t>ÖREBRO LÄN</t>
        </is>
      </c>
      <c r="G56" t="inlineStr">
        <is>
          <t>LJUSNARSBERG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46322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42287-2025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45903</v>
      </c>
      <c r="E58" s="1" t="n">
        <v>46322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45897</v>
      </c>
      <c r="E59" s="1" t="n">
        <v>46322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44607</v>
      </c>
      <c r="E60" s="1" t="n">
        <v>46322</v>
      </c>
      <c r="F60" t="inlineStr">
        <is>
          <t>ÖREBRO LÄN</t>
        </is>
      </c>
      <c r="G60" t="inlineStr">
        <is>
          <t>LJUSNARSBERG</t>
        </is>
      </c>
      <c r="H60" t="inlineStr">
        <is>
          <t>Kyrkan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42761-2023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45177</v>
      </c>
      <c r="E61" s="1" t="n">
        <v>46322</v>
      </c>
      <c r="F61" t="inlineStr">
        <is>
          <t>ÖREBRO LÄN</t>
        </is>
      </c>
      <c r="G61" t="inlineStr">
        <is>
          <t>LJUSNARSBERG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46322</v>
      </c>
      <c r="F62" t="inlineStr">
        <is>
          <t>ÖREBRO LÄN</t>
        </is>
      </c>
      <c r="G62" t="inlineStr">
        <is>
          <t>LJUSNARSBERG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46322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46322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46322</v>
      </c>
      <c r="F65" t="inlineStr">
        <is>
          <t>ÖREBRO LÄN</t>
        </is>
      </c>
      <c r="G65" t="inlineStr">
        <is>
          <t>LJUSNARSBERG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46322</v>
      </c>
      <c r="F66" t="inlineStr">
        <is>
          <t>ÖREBRO LÄN</t>
        </is>
      </c>
      <c r="G66" t="inlineStr">
        <is>
          <t>LJUSNARSBERG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45925</v>
      </c>
      <c r="E67" s="1" t="n">
        <v>46322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46322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46322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46322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46322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46322</v>
      </c>
      <c r="F72" t="inlineStr">
        <is>
          <t>ÖREBRO LÄN</t>
        </is>
      </c>
      <c r="G72" t="inlineStr">
        <is>
          <t>LJUSNARSBERG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46322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46322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45933</v>
      </c>
      <c r="E75" s="1" t="n">
        <v>46322</v>
      </c>
      <c r="F75" t="inlineStr">
        <is>
          <t>ÖREBRO LÄN</t>
        </is>
      </c>
      <c r="G75" t="inlineStr">
        <is>
          <t>LJUSNARSBERG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48534-2025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46322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48540-2025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46322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46322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46322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44999</v>
      </c>
      <c r="E80" s="1" t="n">
        <v>46322</v>
      </c>
      <c r="F80" t="inlineStr">
        <is>
          <t>ÖREBRO LÄN</t>
        </is>
      </c>
      <c r="G80" t="inlineStr">
        <is>
          <t>LJUSNARSBERG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45764</v>
      </c>
      <c r="E81" s="1" t="n">
        <v>46322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46322</v>
      </c>
      <c r="F82" t="inlineStr">
        <is>
          <t>ÖREBRO LÄN</t>
        </is>
      </c>
      <c r="G82" t="inlineStr">
        <is>
          <t>LJUSNARSBERG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44694</v>
      </c>
      <c r="E83" s="1" t="n">
        <v>46322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50865-2025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45946</v>
      </c>
      <c r="E84" s="1" t="n">
        <v>46322</v>
      </c>
      <c r="F84" t="inlineStr">
        <is>
          <t>ÖREBRO LÄN</t>
        </is>
      </c>
      <c r="G84" t="inlineStr">
        <is>
          <t>LJUSNARSBERG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46322</v>
      </c>
      <c r="F85" t="inlineStr">
        <is>
          <t>ÖREBRO LÄN</t>
        </is>
      </c>
      <c r="G85" t="inlineStr">
        <is>
          <t>LJUSNARSBERG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46322</v>
      </c>
      <c r="F86" t="inlineStr">
        <is>
          <t>ÖREBRO LÄN</t>
        </is>
      </c>
      <c r="G86" t="inlineStr">
        <is>
          <t>LJUSNARSBERG</t>
        </is>
      </c>
      <c r="I86" t="n">
        <v>10.8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45583</v>
      </c>
      <c r="E87" s="1" t="n">
        <v>46322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33974-2023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45124</v>
      </c>
      <c r="E88" s="1" t="n">
        <v>46322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31162-2023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46322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46322</v>
      </c>
      <c r="F90" t="inlineStr">
        <is>
          <t>ÖREBRO LÄN</t>
        </is>
      </c>
      <c r="G90" t="inlineStr">
        <is>
          <t>LJUSNARSBERG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46322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45478</v>
      </c>
      <c r="E92" s="1" t="n">
        <v>46322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46322</v>
      </c>
      <c r="F93" t="inlineStr">
        <is>
          <t>ÖREBRO LÄN</t>
        </is>
      </c>
      <c r="G93" t="inlineStr">
        <is>
          <t>LJUSNARSBERG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45698</v>
      </c>
      <c r="E94" s="1" t="n">
        <v>46322</v>
      </c>
      <c r="F94" t="inlineStr">
        <is>
          <t>ÖREBRO LÄN</t>
        </is>
      </c>
      <c r="G94" t="inlineStr">
        <is>
          <t>LJUSNARSBERG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46322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45387</v>
      </c>
      <c r="E96" s="1" t="n">
        <v>46322</v>
      </c>
      <c r="F96" t="inlineStr">
        <is>
          <t>ÖREBRO LÄN</t>
        </is>
      </c>
      <c r="G96" t="inlineStr">
        <is>
          <t>LJUSNARSBERG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46322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46322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46322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46322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31763-2023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46322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46322</v>
      </c>
      <c r="F102" t="inlineStr">
        <is>
          <t>ÖREBRO LÄN</t>
        </is>
      </c>
      <c r="G102" t="inlineStr">
        <is>
          <t>LJUSNARSBERG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46322</v>
      </c>
      <c r="F103" t="inlineStr">
        <is>
          <t>ÖREBRO LÄN</t>
        </is>
      </c>
      <c r="G103" t="inlineStr">
        <is>
          <t>LJUSNARSBERG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22887-2024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45448</v>
      </c>
      <c r="E104" s="1" t="n">
        <v>46322</v>
      </c>
      <c r="F104" t="inlineStr">
        <is>
          <t>ÖREBRO LÄN</t>
        </is>
      </c>
      <c r="G104" t="inlineStr">
        <is>
          <t>LJUSNARSBERG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46322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46322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20673-2025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45776</v>
      </c>
      <c r="E107" s="1" t="n">
        <v>46322</v>
      </c>
      <c r="F107" t="inlineStr">
        <is>
          <t>ÖREBRO LÄN</t>
        </is>
      </c>
      <c r="G107" t="inlineStr">
        <is>
          <t>LJUSNARSBERG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46322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46322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46322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46322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46322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46322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46322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46322</v>
      </c>
      <c r="F115" t="inlineStr">
        <is>
          <t>ÖREBRO LÄN</t>
        </is>
      </c>
      <c r="G115" t="inlineStr">
        <is>
          <t>LJUSNARSBERG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44720</v>
      </c>
      <c r="E116" s="1" t="n">
        <v>46322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46322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44858</v>
      </c>
      <c r="E118" s="1" t="n">
        <v>46322</v>
      </c>
      <c r="F118" t="inlineStr">
        <is>
          <t>ÖREBRO LÄN</t>
        </is>
      </c>
      <c r="G118" t="inlineStr">
        <is>
          <t>LJUSNARSBERG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46322</v>
      </c>
      <c r="F119" t="inlineStr">
        <is>
          <t>ÖREBRO LÄN</t>
        </is>
      </c>
      <c r="G119" t="inlineStr">
        <is>
          <t>LJUSNARSBERG</t>
        </is>
      </c>
      <c r="H119" t="inlineStr">
        <is>
          <t>Kyrkan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46322</v>
      </c>
      <c r="F120" t="inlineStr">
        <is>
          <t>ÖREBRO LÄN</t>
        </is>
      </c>
      <c r="G120" t="inlineStr">
        <is>
          <t>LJUSNARSBERG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46322</v>
      </c>
      <c r="F121" t="inlineStr">
        <is>
          <t>ÖREBRO LÄN</t>
        </is>
      </c>
      <c r="G121" t="inlineStr">
        <is>
          <t>LJUSNARSBERG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46322</v>
      </c>
      <c r="F122" t="inlineStr">
        <is>
          <t>ÖREBRO LÄN</t>
        </is>
      </c>
      <c r="G122" t="inlineStr">
        <is>
          <t>LJUSNARSBERG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46322</v>
      </c>
      <c r="F123" t="inlineStr">
        <is>
          <t>ÖREBRO LÄN</t>
        </is>
      </c>
      <c r="G123" t="inlineStr">
        <is>
          <t>LJUSNARSBERG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46322</v>
      </c>
      <c r="F124" t="inlineStr">
        <is>
          <t>ÖREBRO LÄN</t>
        </is>
      </c>
      <c r="G124" t="inlineStr">
        <is>
          <t>LJUSNARSBERG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46322</v>
      </c>
      <c r="F125" t="inlineStr">
        <is>
          <t>ÖREBRO LÄN</t>
        </is>
      </c>
      <c r="G125" t="inlineStr">
        <is>
          <t>LJUSNARSBERG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46322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46322</v>
      </c>
      <c r="F127" t="inlineStr">
        <is>
          <t>ÖREBRO LÄN</t>
        </is>
      </c>
      <c r="G127" t="inlineStr">
        <is>
          <t>LJUSNARSBERG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46322</v>
      </c>
      <c r="F128" t="inlineStr">
        <is>
          <t>ÖREBRO LÄN</t>
        </is>
      </c>
      <c r="G128" t="inlineStr">
        <is>
          <t>LJUSNARSBERG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33979-2023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45124</v>
      </c>
      <c r="E129" s="1" t="n">
        <v>46322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46167</v>
      </c>
      <c r="E130" s="1" t="n">
        <v>46322</v>
      </c>
      <c r="F130" t="inlineStr">
        <is>
          <t>ÖREBRO LÄN</t>
        </is>
      </c>
      <c r="G130" t="inlineStr">
        <is>
          <t>LJUSNARSBERG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46322</v>
      </c>
      <c r="F131" t="inlineStr">
        <is>
          <t>ÖREBRO LÄN</t>
        </is>
      </c>
      <c r="G131" t="inlineStr">
        <is>
          <t>LJUSNARSBERG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59495-2024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45638</v>
      </c>
      <c r="E132" s="1" t="n">
        <v>46322</v>
      </c>
      <c r="F132" t="inlineStr">
        <is>
          <t>ÖREBRO LÄN</t>
        </is>
      </c>
      <c r="G132" t="inlineStr">
        <is>
          <t>LJUSNARSBERG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46281</v>
      </c>
      <c r="E133" s="1" t="n">
        <v>46322</v>
      </c>
      <c r="F133" t="inlineStr">
        <is>
          <t>ÖREBRO LÄN</t>
        </is>
      </c>
      <c r="G133" t="inlineStr">
        <is>
          <t>LJUSNARSBERG</t>
        </is>
      </c>
      <c r="H133" t="inlineStr">
        <is>
          <t>Kyrkan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46322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46322</v>
      </c>
      <c r="F135" t="inlineStr">
        <is>
          <t>ÖREBRO LÄN</t>
        </is>
      </c>
      <c r="G135" t="inlineStr">
        <is>
          <t>LJUSNARSBERG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38378-2026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46282</v>
      </c>
      <c r="E136" s="1" t="n">
        <v>46322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46322</v>
      </c>
      <c r="F137" t="inlineStr">
        <is>
          <t>ÖREBRO LÄN</t>
        </is>
      </c>
      <c r="G137" t="inlineStr">
        <is>
          <t>LJUSNARSBERG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46133</v>
      </c>
      <c r="E138" s="1" t="n">
        <v>46322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46322</v>
      </c>
      <c r="F139" t="inlineStr">
        <is>
          <t>ÖREBRO LÄN</t>
        </is>
      </c>
      <c r="G139" t="inlineStr">
        <is>
          <t>LJUSNARSBERG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46322</v>
      </c>
      <c r="F140" t="inlineStr">
        <is>
          <t>ÖREBRO LÄN</t>
        </is>
      </c>
      <c r="G140" t="inlineStr">
        <is>
          <t>LJUSNARSBERG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46322</v>
      </c>
      <c r="F141" t="inlineStr">
        <is>
          <t>ÖREBRO LÄN</t>
        </is>
      </c>
      <c r="G141" t="inlineStr">
        <is>
          <t>LJUSNARSBERG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46322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36108-2024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46322</v>
      </c>
      <c r="F143" t="inlineStr">
        <is>
          <t>ÖREBRO LÄN</t>
        </is>
      </c>
      <c r="G143" t="inlineStr">
        <is>
          <t>LJUSNARSBERG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46322</v>
      </c>
      <c r="F144" t="inlineStr">
        <is>
          <t>ÖREBRO LÄN</t>
        </is>
      </c>
      <c r="G144" t="inlineStr">
        <is>
          <t>LJUSNARSBERG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46322</v>
      </c>
      <c r="F145" t="inlineStr">
        <is>
          <t>ÖREBRO LÄN</t>
        </is>
      </c>
      <c r="G145" t="inlineStr">
        <is>
          <t>LJUSNARSBERG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46322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46322</v>
      </c>
      <c r="F147" t="inlineStr">
        <is>
          <t>ÖREBRO LÄN</t>
        </is>
      </c>
      <c r="G147" t="inlineStr">
        <is>
          <t>LJUSNARSBERG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46246</v>
      </c>
      <c r="E148" s="1" t="n">
        <v>46322</v>
      </c>
      <c r="F148" t="inlineStr">
        <is>
          <t>ÖREBRO LÄN</t>
        </is>
      </c>
      <c r="G148" t="inlineStr">
        <is>
          <t>LJUSNARSBERG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46322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46322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46322</v>
      </c>
      <c r="F151" t="inlineStr">
        <is>
          <t>ÖREBRO LÄN</t>
        </is>
      </c>
      <c r="G151" t="inlineStr">
        <is>
          <t>LJUSNARSBERG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46322</v>
      </c>
      <c r="F152" t="inlineStr">
        <is>
          <t>ÖREBRO LÄN</t>
        </is>
      </c>
      <c r="G152" t="inlineStr">
        <is>
          <t>LJUSNARSBERG</t>
        </is>
      </c>
      <c r="H152" t="inlineStr">
        <is>
          <t>Kyrkan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46322</v>
      </c>
      <c r="F153" t="inlineStr">
        <is>
          <t>ÖREBRO LÄN</t>
        </is>
      </c>
      <c r="G153" t="inlineStr">
        <is>
          <t>LJUSNARSBERG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46290</v>
      </c>
      <c r="E154" s="1" t="n">
        <v>46322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46322</v>
      </c>
      <c r="F155" t="inlineStr">
        <is>
          <t>ÖREBRO LÄN</t>
        </is>
      </c>
      <c r="G155" t="inlineStr">
        <is>
          <t>LJUSNARSBERG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46322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46322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46322</v>
      </c>
      <c r="F158" t="inlineStr">
        <is>
          <t>ÖREBRO LÄN</t>
        </is>
      </c>
      <c r="G158" t="inlineStr">
        <is>
          <t>LJUSNARSBERG</t>
        </is>
      </c>
      <c r="I158" t="n">
        <v>14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46322</v>
      </c>
      <c r="F159" t="inlineStr">
        <is>
          <t>ÖREBRO LÄN</t>
        </is>
      </c>
      <c r="G159" t="inlineStr">
        <is>
          <t>LJUSNARSBERG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45394</v>
      </c>
      <c r="E160" s="1" t="n">
        <v>46322</v>
      </c>
      <c r="F160" t="inlineStr">
        <is>
          <t>ÖREBRO LÄN</t>
        </is>
      </c>
      <c r="G160" t="inlineStr">
        <is>
          <t>LJUSNARSBERG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46322</v>
      </c>
      <c r="F161" t="inlineStr">
        <is>
          <t>ÖREBRO LÄN</t>
        </is>
      </c>
      <c r="G161" t="inlineStr">
        <is>
          <t>LJUSNARSBERG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45239</v>
      </c>
      <c r="E162" s="1" t="n">
        <v>46322</v>
      </c>
      <c r="F162" t="inlineStr">
        <is>
          <t>ÖREBRO LÄN</t>
        </is>
      </c>
      <c r="G162" t="inlineStr">
        <is>
          <t>LJUSNARSBERG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46294</v>
      </c>
      <c r="E163" s="1" t="n">
        <v>46322</v>
      </c>
      <c r="F163" t="inlineStr">
        <is>
          <t>ÖREBRO LÄN</t>
        </is>
      </c>
      <c r="G163" t="inlineStr">
        <is>
          <t>LJUSNARSBERG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46322</v>
      </c>
      <c r="F164" t="inlineStr">
        <is>
          <t>ÖREBRO LÄN</t>
        </is>
      </c>
      <c r="G164" t="inlineStr">
        <is>
          <t>LJUSNARSBERG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46322</v>
      </c>
      <c r="F165" t="inlineStr">
        <is>
          <t>ÖREBRO LÄN</t>
        </is>
      </c>
      <c r="G165" t="inlineStr">
        <is>
          <t>LJUSNARSBERG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46322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46322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46322</v>
      </c>
      <c r="F168" t="inlineStr">
        <is>
          <t>ÖREBRO LÄN</t>
        </is>
      </c>
      <c r="G168" t="inlineStr">
        <is>
          <t>LJUSNARSBERG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44690</v>
      </c>
      <c r="E169" s="1" t="n">
        <v>46322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44903</v>
      </c>
      <c r="E170" s="1" t="n">
        <v>46322</v>
      </c>
      <c r="F170" t="inlineStr">
        <is>
          <t>ÖREBRO LÄN</t>
        </is>
      </c>
      <c r="G170" t="inlineStr">
        <is>
          <t>LJUSNARSBERG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46322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46322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46322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45124</v>
      </c>
      <c r="E174" s="1" t="n">
        <v>46322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46322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46322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46322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46322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46301</v>
      </c>
      <c r="E179" s="1" t="n">
        <v>46322</v>
      </c>
      <c r="F179" t="inlineStr">
        <is>
          <t>ÖREBRO LÄN</t>
        </is>
      </c>
      <c r="G179" t="inlineStr">
        <is>
          <t>LJUSNARSBERG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46300</v>
      </c>
      <c r="E180" s="1" t="n">
        <v>46322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46300</v>
      </c>
      <c r="E181" s="1" t="n">
        <v>46322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46301</v>
      </c>
      <c r="E182" s="1" t="n">
        <v>46322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46300</v>
      </c>
      <c r="E183" s="1" t="n">
        <v>46322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46307</v>
      </c>
      <c r="E184" s="1" t="n">
        <v>46322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44690</v>
      </c>
      <c r="E185" s="1" t="n">
        <v>46322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45111</v>
      </c>
      <c r="E186" s="1" t="n">
        <v>46322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44916</v>
      </c>
      <c r="E187" s="1" t="n">
        <v>46322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45347</v>
      </c>
      <c r="E188" s="1" t="n">
        <v>46322</v>
      </c>
      <c r="F188" t="inlineStr">
        <is>
          <t>ÖREBRO LÄN</t>
        </is>
      </c>
      <c r="G188" t="inlineStr">
        <is>
          <t>LJUSNARSBERG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46315</v>
      </c>
      <c r="E189" s="1" t="n">
        <v>46322</v>
      </c>
      <c r="F189" t="inlineStr">
        <is>
          <t>ÖREBRO LÄN</t>
        </is>
      </c>
      <c r="G189" t="inlineStr">
        <is>
          <t>LJUSNARSBERG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46272</v>
      </c>
      <c r="E190" s="1" t="n">
        <v>46322</v>
      </c>
      <c r="F190" t="inlineStr">
        <is>
          <t>ÖREBRO LÄN</t>
        </is>
      </c>
      <c r="G190" t="inlineStr">
        <is>
          <t>LJUSNARSBERG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45030</v>
      </c>
      <c r="E191" s="1" t="n">
        <v>46322</v>
      </c>
      <c r="F191" t="inlineStr">
        <is>
          <t>ÖREBRO LÄN</t>
        </is>
      </c>
      <c r="G191" t="inlineStr">
        <is>
          <t>LJUSNARSBERG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46315</v>
      </c>
      <c r="E192" s="1" t="n">
        <v>46322</v>
      </c>
      <c r="F192" t="inlineStr">
        <is>
          <t>ÖREBRO LÄN</t>
        </is>
      </c>
      <c r="G192" t="inlineStr">
        <is>
          <t>LJUSNARSBERG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46272</v>
      </c>
      <c r="E193" s="1" t="n">
        <v>46322</v>
      </c>
      <c r="F193" t="inlineStr">
        <is>
          <t>ÖREBRO LÄN</t>
        </is>
      </c>
      <c r="G193" t="inlineStr">
        <is>
          <t>LJUSNARSBERG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46317</v>
      </c>
      <c r="E194" s="1" t="n">
        <v>46322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46317</v>
      </c>
      <c r="E195" s="1" t="n">
        <v>46322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46279</v>
      </c>
      <c r="E196" s="1" t="n">
        <v>46322</v>
      </c>
      <c r="F196" t="inlineStr">
        <is>
          <t>ÖREBRO LÄN</t>
        </is>
      </c>
      <c r="G196" t="inlineStr">
        <is>
          <t>LJUSNARSBERG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46275</v>
      </c>
      <c r="E197" s="1" t="n">
        <v>46322</v>
      </c>
      <c r="F197" t="inlineStr">
        <is>
          <t>ÖREBRO LÄN</t>
        </is>
      </c>
      <c r="G197" t="inlineStr">
        <is>
          <t>LJUSNARSBERG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46322</v>
      </c>
      <c r="F198" t="inlineStr">
        <is>
          <t>ÖREBRO LÄN</t>
        </is>
      </c>
      <c r="G198" t="inlineStr">
        <is>
          <t>LJUSNARSBERG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46322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46322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46322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46322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46322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4521-2023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45275</v>
      </c>
      <c r="E204" s="1" t="n">
        <v>46322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46322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2836-2023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45167</v>
      </c>
      <c r="E206" s="1" t="n">
        <v>46322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707-2025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45720</v>
      </c>
      <c r="E207" s="1" t="n">
        <v>46322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1972-2025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45832</v>
      </c>
      <c r="E208" s="1" t="n">
        <v>46322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3578-2025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46010</v>
      </c>
      <c r="E209" s="1" t="n">
        <v>46322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603-2026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46085</v>
      </c>
      <c r="E210" s="1" t="n">
        <v>46322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125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1743-2026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46185</v>
      </c>
      <c r="E211" s="1" t="n">
        <v>46322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2322-2026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46269</v>
      </c>
      <c r="E212" s="1" t="n">
        <v>46322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67.09999999999999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46322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2026-10-27T03:11:05Z</dcterms:created>
  <dcterms:modified xmlns:dcterms="http://purl.org/dc/terms/" xmlns:xsi="http://www.w3.org/2001/XMLSchema-instance" xsi:type="dcterms:W3CDTF">2026-10-27T03:11:05Z</dcterms:modified>
</cp:coreProperties>
</file>