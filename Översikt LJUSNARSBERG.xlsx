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46241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46241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46241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46241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46241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46241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46241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46241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46241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46241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46241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46241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46241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46241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46241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46241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46241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46241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46241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45536-2024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46241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5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Tvåblad
Fläcknycklar</t>
        </is>
      </c>
      <c r="W21">
        <f>HYPERLINK("https://klasma.github.io/Logging_1864/artfynd/A 45536-2024 artfynd.xlsx", "A 45536-2024")</f>
        <v/>
      </c>
      <c r="X21">
        <f>HYPERLINK("https://klasma.github.io/Logging_1864/kartor/A 45536-2024 karta.png", "A 45536-2024")</f>
        <v/>
      </c>
      <c r="Y21">
        <f>HYPERLINK("https://klasma.github.io/Logging_1864/kartor_geotiff/A 45536-2024 georefererad karta.tif", "A 45536-2024")</f>
        <v/>
      </c>
      <c r="AA21">
        <f>HYPERLINK("https://klasma.github.io/Logging_1864/klagomål/A 45536-2024 FSC-klagomål.docx", "A 45536-2024")</f>
        <v/>
      </c>
      <c r="AB21">
        <f>HYPERLINK("https://klasma.github.io/Logging_1864/klagomålsmail/A 45536-2024 FSC-klagomål mail.docx", "A 45536-2024")</f>
        <v/>
      </c>
      <c r="AC21">
        <f>HYPERLINK("https://klasma.github.io/Logging_1864/tillsyn/A 45536-2024 tillsynsbegäran.docx", "A 45536-2024")</f>
        <v/>
      </c>
      <c r="AD21">
        <f>HYPERLINK("https://klasma.github.io/Logging_1864/tillsynsmail/A 45536-2024 tillsynsbegäran mail.docx", "A 45536-2024")</f>
        <v/>
      </c>
    </row>
    <row r="22" ht="15" customHeight="1">
      <c r="A22" t="inlineStr">
        <is>
          <t>A 56179-2024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46241</v>
      </c>
      <c r="F22" t="inlineStr">
        <is>
          <t>ÖREBRO LÄN</t>
        </is>
      </c>
      <c r="G22" t="inlineStr">
        <is>
          <t>LJUSNARSBERG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Vedticka</t>
        </is>
      </c>
      <c r="W22">
        <f>HYPERLINK("https://klasma.github.io/Logging_1864/artfynd/A 56179-2024 artfynd.xlsx", "A 56179-2024")</f>
        <v/>
      </c>
      <c r="X22">
        <f>HYPERLINK("https://klasma.github.io/Logging_1864/kartor/A 56179-2024 karta.png", "A 56179-2024")</f>
        <v/>
      </c>
      <c r="Y22">
        <f>HYPERLINK("https://klasma.github.io/Logging_1864/kartor_geotiff/A 56179-2024 georefererad karta.tif", "A 56179-2024")</f>
        <v/>
      </c>
      <c r="AA22">
        <f>HYPERLINK("https://klasma.github.io/Logging_1864/klagomål/A 56179-2024 FSC-klagomål.docx", "A 56179-2024")</f>
        <v/>
      </c>
      <c r="AB22">
        <f>HYPERLINK("https://klasma.github.io/Logging_1864/klagomålsmail/A 56179-2024 FSC-klagomål mail.docx", "A 56179-2024")</f>
        <v/>
      </c>
      <c r="AC22">
        <f>HYPERLINK("https://klasma.github.io/Logging_1864/tillsyn/A 56179-2024 tillsynsbegäran.docx", "A 56179-2024")</f>
        <v/>
      </c>
      <c r="AD22">
        <f>HYPERLINK("https://klasma.github.io/Logging_1864/tillsynsmail/A 56179-2024 tillsynsbegäran mail.docx", "A 56179-2024")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46241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46241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46241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46241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46241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46241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46241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46241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HYPERLINK("https://klasma.github.io/Logging_1864/artfynd/A 39095-2022 artfynd.xlsx", "A 39095-2022")</f>
        <v/>
      </c>
      <c r="X30">
        <f>HYPERLINK("https://klasma.github.io/Logging_1864/kartor/A 39095-2022 karta.png", "A 39095-2022")</f>
        <v/>
      </c>
      <c r="Y30">
        <f>HYPERLINK("https://klasma.github.io/Logging_1864/kartor_geotiff/A 39095-2022 georefererad karta.tif", "A 39095-2022")</f>
        <v/>
      </c>
      <c r="AA30">
        <f>HYPERLINK("https://klasma.github.io/Logging_1864/klagomål/A 39095-2022 FSC-klagomål.docx", "A 39095-2022")</f>
        <v/>
      </c>
      <c r="AB30">
        <f>HYPERLINK("https://klasma.github.io/Logging_1864/klagomålsmail/A 39095-2022 FSC-klagomål mail.docx", "A 39095-2022")</f>
        <v/>
      </c>
      <c r="AC30">
        <f>HYPERLINK("https://klasma.github.io/Logging_1864/tillsyn/A 39095-2022 tillsynsbegäran.docx", "A 39095-2022")</f>
        <v/>
      </c>
      <c r="AD30">
        <f>HYPERLINK("https://klasma.github.io/Logging_1864/tillsynsmail/A 39095-2022 tillsynsbegäran mail.docx", "A 39095-2022")</f>
        <v/>
      </c>
    </row>
    <row r="31" ht="15" customHeight="1">
      <c r="A31" t="inlineStr">
        <is>
          <t>A 45537-2024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45578</v>
      </c>
      <c r="E31" s="1" t="n">
        <v>46241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HYPERLINK("https://klasma.github.io/Logging_1864/artfynd/A 45537-2024 artfynd.xlsx", "A 45537-2024")</f>
        <v/>
      </c>
      <c r="X31">
        <f>HYPERLINK("https://klasma.github.io/Logging_1864/kartor/A 45537-2024 karta.png", "A 45537-2024")</f>
        <v/>
      </c>
      <c r="Y31">
        <f>HYPERLINK("https://klasma.github.io/Logging_1864/kartor_geotiff/A 45537-2024 georefererad karta.tif", "A 45537-2024")</f>
        <v/>
      </c>
      <c r="AA31">
        <f>HYPERLINK("https://klasma.github.io/Logging_1864/klagomål/A 45537-2024 FSC-klagomål.docx", "A 45537-2024")</f>
        <v/>
      </c>
      <c r="AB31">
        <f>HYPERLINK("https://klasma.github.io/Logging_1864/klagomålsmail/A 45537-2024 FSC-klagomål mail.docx", "A 45537-2024")</f>
        <v/>
      </c>
      <c r="AC31">
        <f>HYPERLINK("https://klasma.github.io/Logging_1864/tillsyn/A 45537-2024 tillsynsbegäran.docx", "A 45537-2024")</f>
        <v/>
      </c>
      <c r="AD31">
        <f>HYPERLINK("https://klasma.github.io/Logging_1864/tillsynsmail/A 45537-2024 tillsynsbegäran mail.docx", "A 45537-2024")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46241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46241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46241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46241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46241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46241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46241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46241</v>
      </c>
      <c r="F39" t="inlineStr">
        <is>
          <t>ÖREBRO LÄN</t>
        </is>
      </c>
      <c r="G39" t="inlineStr">
        <is>
          <t>LJUSNARSBERG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44293-2021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44435</v>
      </c>
      <c r="E40" s="1" t="n">
        <v>46241</v>
      </c>
      <c r="F40" t="inlineStr">
        <is>
          <t>ÖREBRO LÄN</t>
        </is>
      </c>
      <c r="G40" t="inlineStr">
        <is>
          <t>LJUSNARSBERG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44595</v>
      </c>
      <c r="E41" s="1" t="n">
        <v>46241</v>
      </c>
      <c r="F41" t="inlineStr">
        <is>
          <t>ÖREBRO LÄN</t>
        </is>
      </c>
      <c r="G41" t="inlineStr">
        <is>
          <t>LJUSNARSBERG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25773-2022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46241</v>
      </c>
      <c r="F42" t="inlineStr">
        <is>
          <t>ÖREBRO LÄN</t>
        </is>
      </c>
      <c r="G42" t="inlineStr">
        <is>
          <t>LJUSNARSBERG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46241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46241</v>
      </c>
      <c r="F44" t="inlineStr">
        <is>
          <t>ÖREBRO LÄN</t>
        </is>
      </c>
      <c r="G44" t="inlineStr">
        <is>
          <t>LJUSNARSBERG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46241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44282-2021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44435</v>
      </c>
      <c r="E46" s="1" t="n">
        <v>46241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46241</v>
      </c>
      <c r="F47" t="inlineStr">
        <is>
          <t>ÖREBRO LÄN</t>
        </is>
      </c>
      <c r="G47" t="inlineStr">
        <is>
          <t>LJUSNARSBERG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31998-2022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44778</v>
      </c>
      <c r="E48" s="1" t="n">
        <v>46241</v>
      </c>
      <c r="F48" t="inlineStr">
        <is>
          <t>ÖREBRO LÄN</t>
        </is>
      </c>
      <c r="G48" t="inlineStr">
        <is>
          <t>LJUSNARSBERG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46241</v>
      </c>
      <c r="F49" t="inlineStr">
        <is>
          <t>ÖREBRO LÄN</t>
        </is>
      </c>
      <c r="G49" t="inlineStr">
        <is>
          <t>LJUSNARSBERG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18975-2025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45764</v>
      </c>
      <c r="E50" s="1" t="n">
        <v>46241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46241</v>
      </c>
      <c r="F51" t="inlineStr">
        <is>
          <t>ÖREBRO LÄN</t>
        </is>
      </c>
      <c r="G51" t="inlineStr">
        <is>
          <t>LJUSNARSBERG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13803-2024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46241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44468</v>
      </c>
      <c r="E53" s="1" t="n">
        <v>46241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45574</v>
      </c>
      <c r="E54" s="1" t="n">
        <v>46241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45347</v>
      </c>
      <c r="E55" s="1" t="n">
        <v>46241</v>
      </c>
      <c r="F55" t="inlineStr">
        <is>
          <t>ÖREBRO LÄN</t>
        </is>
      </c>
      <c r="G55" t="inlineStr">
        <is>
          <t>LJUSNARSBERG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46241</v>
      </c>
      <c r="F56" t="inlineStr">
        <is>
          <t>ÖREBRO LÄN</t>
        </is>
      </c>
      <c r="G56" t="inlineStr">
        <is>
          <t>LJUSNARSBERG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46241</v>
      </c>
      <c r="F57" t="inlineStr">
        <is>
          <t>ÖREBRO LÄN</t>
        </is>
      </c>
      <c r="G57" t="inlineStr">
        <is>
          <t>LJUSNARSBERG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46241</v>
      </c>
      <c r="F58" t="inlineStr">
        <is>
          <t>ÖREBRO LÄN</t>
        </is>
      </c>
      <c r="G58" t="inlineStr">
        <is>
          <t>LJUSNARSBERG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45124</v>
      </c>
      <c r="E59" s="1" t="n">
        <v>46241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45124</v>
      </c>
      <c r="E60" s="1" t="n">
        <v>46241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53789-2022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46241</v>
      </c>
      <c r="F61" t="inlineStr">
        <is>
          <t>ÖREBRO LÄN</t>
        </is>
      </c>
      <c r="G61" t="inlineStr">
        <is>
          <t>LJUSNARSBERG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59497-2024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45638</v>
      </c>
      <c r="E62" s="1" t="n">
        <v>46241</v>
      </c>
      <c r="F62" t="inlineStr">
        <is>
          <t>ÖREBRO LÄN</t>
        </is>
      </c>
      <c r="G62" t="inlineStr">
        <is>
          <t>LJUSNARSBERG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22887-2024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45448</v>
      </c>
      <c r="E63" s="1" t="n">
        <v>46241</v>
      </c>
      <c r="F63" t="inlineStr">
        <is>
          <t>ÖREBRO LÄN</t>
        </is>
      </c>
      <c r="G63" t="inlineStr">
        <is>
          <t>LJUSNARSBERG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12482-2023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44999</v>
      </c>
      <c r="E64" s="1" t="n">
        <v>46241</v>
      </c>
      <c r="F64" t="inlineStr">
        <is>
          <t>ÖREBRO LÄN</t>
        </is>
      </c>
      <c r="G64" t="inlineStr">
        <is>
          <t>LJUSNARSBERG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46241</v>
      </c>
      <c r="F65" t="inlineStr">
        <is>
          <t>ÖREBRO LÄN</t>
        </is>
      </c>
      <c r="G65" t="inlineStr">
        <is>
          <t>LJUSNARSBERG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45574</v>
      </c>
      <c r="E66" s="1" t="n">
        <v>46241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45578</v>
      </c>
      <c r="E67" s="1" t="n">
        <v>46241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46241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44939</v>
      </c>
      <c r="E69" s="1" t="n">
        <v>46241</v>
      </c>
      <c r="F69" t="inlineStr">
        <is>
          <t>ÖREBRO LÄN</t>
        </is>
      </c>
      <c r="G69" t="inlineStr">
        <is>
          <t>LJUSNARSBERG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45583</v>
      </c>
      <c r="E70" s="1" t="n">
        <v>46241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46241</v>
      </c>
      <c r="F71" t="inlineStr">
        <is>
          <t>ÖREBRO LÄN</t>
        </is>
      </c>
      <c r="G71" t="inlineStr">
        <is>
          <t>LJUSNARSBERG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46241</v>
      </c>
      <c r="F72" t="inlineStr">
        <is>
          <t>ÖREBRO LÄN</t>
        </is>
      </c>
      <c r="G72" t="inlineStr">
        <is>
          <t>LJUSNARSBERG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46241</v>
      </c>
      <c r="F73" t="inlineStr">
        <is>
          <t>ÖREBRO LÄN</t>
        </is>
      </c>
      <c r="G73" t="inlineStr">
        <is>
          <t>LJUSNARSBERG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25574-2023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45089</v>
      </c>
      <c r="E74" s="1" t="n">
        <v>46241</v>
      </c>
      <c r="F74" t="inlineStr">
        <is>
          <t>ÖREBRO LÄN</t>
        </is>
      </c>
      <c r="G74" t="inlineStr">
        <is>
          <t>LJUSNARSBERG</t>
        </is>
      </c>
      <c r="H74" t="inlineStr">
        <is>
          <t>Sveaskog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45085</v>
      </c>
      <c r="E75" s="1" t="n">
        <v>46241</v>
      </c>
      <c r="F75" t="inlineStr">
        <is>
          <t>ÖREBRO LÄN</t>
        </is>
      </c>
      <c r="G75" t="inlineStr">
        <is>
          <t>LJUSNARSBERG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59630-2024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46241</v>
      </c>
      <c r="F76" t="inlineStr">
        <is>
          <t>ÖREBRO LÄN</t>
        </is>
      </c>
      <c r="G76" t="inlineStr">
        <is>
          <t>LJUSNARSBERG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45832</v>
      </c>
      <c r="E77" s="1" t="n">
        <v>46241</v>
      </c>
      <c r="F77" t="inlineStr">
        <is>
          <t>ÖREBRO LÄN</t>
        </is>
      </c>
      <c r="G77" t="inlineStr">
        <is>
          <t>LJUSNARSBERG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46241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29721-2023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46241</v>
      </c>
      <c r="F79" t="inlineStr">
        <is>
          <t>ÖREBRO LÄN</t>
        </is>
      </c>
      <c r="G79" t="inlineStr">
        <is>
          <t>LJUSNARSBERG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46241</v>
      </c>
      <c r="F80" t="inlineStr">
        <is>
          <t>ÖREBRO LÄN</t>
        </is>
      </c>
      <c r="G80" t="inlineStr">
        <is>
          <t>LJUSNARSBERG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46241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46241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46241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46241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46241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46241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46241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46241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46241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45903</v>
      </c>
      <c r="E90" s="1" t="n">
        <v>46241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46241</v>
      </c>
      <c r="F91" t="inlineStr">
        <is>
          <t>ÖREBRO LÄN</t>
        </is>
      </c>
      <c r="G91" t="inlineStr">
        <is>
          <t>LJUSNARSBERG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46241</v>
      </c>
      <c r="F92" t="inlineStr">
        <is>
          <t>ÖREBRO LÄN</t>
        </is>
      </c>
      <c r="G92" t="inlineStr">
        <is>
          <t>LJUSNARSBERG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46241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44479-2025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45916</v>
      </c>
      <c r="E94" s="1" t="n">
        <v>46241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46241</v>
      </c>
      <c r="F95" t="inlineStr">
        <is>
          <t>ÖREBRO LÄN</t>
        </is>
      </c>
      <c r="G95" t="inlineStr">
        <is>
          <t>LJUSNARSBERG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40864-2025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46241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23346-2022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44720</v>
      </c>
      <c r="E97" s="1" t="n">
        <v>46241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46241</v>
      </c>
      <c r="F98" t="inlineStr">
        <is>
          <t>ÖREBRO LÄN</t>
        </is>
      </c>
      <c r="G98" t="inlineStr">
        <is>
          <t>LJUSNARSBERG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44720</v>
      </c>
      <c r="E99" s="1" t="n">
        <v>46241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46133</v>
      </c>
      <c r="E100" s="1" t="n">
        <v>46241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44734</v>
      </c>
      <c r="E101" s="1" t="n">
        <v>46241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46492-2025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45925</v>
      </c>
      <c r="E102" s="1" t="n">
        <v>46241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45901</v>
      </c>
      <c r="E103" s="1" t="n">
        <v>46241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19936-2026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46136</v>
      </c>
      <c r="E104" s="1" t="n">
        <v>46241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46241</v>
      </c>
      <c r="F105" t="inlineStr">
        <is>
          <t>ÖREBRO LÄN</t>
        </is>
      </c>
      <c r="G105" t="inlineStr">
        <is>
          <t>LJUSNARSBERG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19937-2026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46241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46241</v>
      </c>
      <c r="F107" t="inlineStr">
        <is>
          <t>ÖREBRO LÄN</t>
        </is>
      </c>
      <c r="G107" t="inlineStr">
        <is>
          <t>LJUSNARSBERG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46241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46241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46241</v>
      </c>
      <c r="F110" t="inlineStr">
        <is>
          <t>ÖREBRO LÄN</t>
        </is>
      </c>
      <c r="G110" t="inlineStr">
        <is>
          <t>LJUSNARSBERG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45934</v>
      </c>
      <c r="E111" s="1" t="n">
        <v>46241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46241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46241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46241</v>
      </c>
      <c r="F114" t="inlineStr">
        <is>
          <t>ÖREBRO LÄN</t>
        </is>
      </c>
      <c r="G114" t="inlineStr">
        <is>
          <t>LJUSNARSBERG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46241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44565</v>
      </c>
      <c r="E116" s="1" t="n">
        <v>46241</v>
      </c>
      <c r="F116" t="inlineStr">
        <is>
          <t>ÖREBRO LÄN</t>
        </is>
      </c>
      <c r="G116" t="inlineStr">
        <is>
          <t>LJUSNARSBERG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50865-2025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45946</v>
      </c>
      <c r="E117" s="1" t="n">
        <v>46241</v>
      </c>
      <c r="F117" t="inlineStr">
        <is>
          <t>ÖREBRO LÄN</t>
        </is>
      </c>
      <c r="G117" t="inlineStr">
        <is>
          <t>LJUSNARSBERG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27343-2025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45812</v>
      </c>
      <c r="E118" s="1" t="n">
        <v>46241</v>
      </c>
      <c r="F118" t="inlineStr">
        <is>
          <t>ÖREBRO LÄN</t>
        </is>
      </c>
      <c r="G118" t="inlineStr">
        <is>
          <t>LJUSNARSBERG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46241</v>
      </c>
      <c r="F119" t="inlineStr">
        <is>
          <t>ÖREBRO LÄN</t>
        </is>
      </c>
      <c r="G119" t="inlineStr">
        <is>
          <t>LJUSNARSBERG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46241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46085-2024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46241</v>
      </c>
      <c r="F121" t="inlineStr">
        <is>
          <t>ÖREBRO LÄN</t>
        </is>
      </c>
      <c r="G121" t="inlineStr">
        <is>
          <t>LJUSNARSBERG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46241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36108-2024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46241</v>
      </c>
      <c r="F123" t="inlineStr">
        <is>
          <t>ÖREBRO LÄN</t>
        </is>
      </c>
      <c r="G123" t="inlineStr">
        <is>
          <t>LJUSNARSBERG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46263-2021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46241</v>
      </c>
      <c r="F124" t="inlineStr">
        <is>
          <t>ÖREBRO LÄN</t>
        </is>
      </c>
      <c r="G124" t="inlineStr">
        <is>
          <t>LJUSNARSBERG</t>
        </is>
      </c>
      <c r="I124" t="n">
        <v>8.699999999999999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44917</v>
      </c>
      <c r="E125" s="1" t="n">
        <v>46241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44788-2021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44438</v>
      </c>
      <c r="E126" s="1" t="n">
        <v>46241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46241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46241</v>
      </c>
      <c r="F128" t="inlineStr">
        <is>
          <t>ÖREBRO LÄN</t>
        </is>
      </c>
      <c r="G128" t="inlineStr">
        <is>
          <t>LJUSNARSBERG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45394</v>
      </c>
      <c r="E129" s="1" t="n">
        <v>46241</v>
      </c>
      <c r="F129" t="inlineStr">
        <is>
          <t>ÖREBRO LÄN</t>
        </is>
      </c>
      <c r="G129" t="inlineStr">
        <is>
          <t>LJUSNARSBERG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46241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46241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46241</v>
      </c>
      <c r="F132" t="inlineStr">
        <is>
          <t>ÖREBRO LÄN</t>
        </is>
      </c>
      <c r="G132" t="inlineStr">
        <is>
          <t>LJUSNARSBERG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46146</v>
      </c>
      <c r="E133" s="1" t="n">
        <v>46241</v>
      </c>
      <c r="F133" t="inlineStr">
        <is>
          <t>ÖREBRO LÄN</t>
        </is>
      </c>
      <c r="G133" t="inlineStr">
        <is>
          <t>LJUSNARSBERG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67746-2021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44524</v>
      </c>
      <c r="E134" s="1" t="n">
        <v>46241</v>
      </c>
      <c r="F134" t="inlineStr">
        <is>
          <t>ÖREBRO LÄN</t>
        </is>
      </c>
      <c r="G134" t="inlineStr">
        <is>
          <t>LJUSNARSBERG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46241</v>
      </c>
      <c r="F135" t="inlineStr">
        <is>
          <t>ÖREBRO LÄN</t>
        </is>
      </c>
      <c r="G135" t="inlineStr">
        <is>
          <t>LJUSNARSBERG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46241</v>
      </c>
      <c r="F136" t="inlineStr">
        <is>
          <t>ÖREBRO LÄN</t>
        </is>
      </c>
      <c r="G136" t="inlineStr">
        <is>
          <t>LJUSNARSBERG</t>
        </is>
      </c>
      <c r="I136" t="n">
        <v>14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46241</v>
      </c>
      <c r="F137" t="inlineStr">
        <is>
          <t>ÖREBRO LÄN</t>
        </is>
      </c>
      <c r="G137" t="inlineStr">
        <is>
          <t>LJUSNARSBERG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46241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53595-2024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46241</v>
      </c>
      <c r="F139" t="inlineStr">
        <is>
          <t>ÖREBRO LÄN</t>
        </is>
      </c>
      <c r="G139" t="inlineStr">
        <is>
          <t>LJUSNARSBERG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46241</v>
      </c>
      <c r="F140" t="inlineStr">
        <is>
          <t>ÖREBRO LÄN</t>
        </is>
      </c>
      <c r="G140" t="inlineStr">
        <is>
          <t>LJUSNARSBERG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46241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46241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46241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46241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46241</v>
      </c>
      <c r="F145" t="inlineStr">
        <is>
          <t>ÖREBRO LÄN</t>
        </is>
      </c>
      <c r="G145" t="inlineStr">
        <is>
          <t>LJUSNARSBERG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46241</v>
      </c>
      <c r="F146" t="inlineStr">
        <is>
          <t>ÖREBRO LÄN</t>
        </is>
      </c>
      <c r="G146" t="inlineStr">
        <is>
          <t>LJUSNARSBERG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46163</v>
      </c>
      <c r="E147" s="1" t="n">
        <v>46241</v>
      </c>
      <c r="F147" t="inlineStr">
        <is>
          <t>ÖREBRO LÄN</t>
        </is>
      </c>
      <c r="G147" t="inlineStr">
        <is>
          <t>LJUSNARSBERG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46241</v>
      </c>
      <c r="F148" t="inlineStr">
        <is>
          <t>ÖREBRO LÄN</t>
        </is>
      </c>
      <c r="G148" t="inlineStr">
        <is>
          <t>LJUSNARSBERG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46241</v>
      </c>
      <c r="F149" t="inlineStr">
        <is>
          <t>ÖREBRO LÄN</t>
        </is>
      </c>
      <c r="G149" t="inlineStr">
        <is>
          <t>LJUSNARSBERG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61794-2024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45649</v>
      </c>
      <c r="E150" s="1" t="n">
        <v>46241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46241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46167</v>
      </c>
      <c r="E152" s="1" t="n">
        <v>46241</v>
      </c>
      <c r="F152" t="inlineStr">
        <is>
          <t>ÖREBRO LÄN</t>
        </is>
      </c>
      <c r="G152" t="inlineStr">
        <is>
          <t>LJUSNARSBERG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46241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45608</v>
      </c>
      <c r="E154" s="1" t="n">
        <v>46241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46241</v>
      </c>
      <c r="F155" t="inlineStr">
        <is>
          <t>ÖREBRO LÄN</t>
        </is>
      </c>
      <c r="G155" t="inlineStr">
        <is>
          <t>LJUSNARSBERG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46241</v>
      </c>
      <c r="F156" t="inlineStr">
        <is>
          <t>ÖREBRO LÄN</t>
        </is>
      </c>
      <c r="G156" t="inlineStr">
        <is>
          <t>LJUSNARSBERG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44694</v>
      </c>
      <c r="E157" s="1" t="n">
        <v>46241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46241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45239</v>
      </c>
      <c r="E159" s="1" t="n">
        <v>46241</v>
      </c>
      <c r="F159" t="inlineStr">
        <is>
          <t>ÖREBRO LÄN</t>
        </is>
      </c>
      <c r="G159" t="inlineStr">
        <is>
          <t>LJUSNARSBERG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44790</v>
      </c>
      <c r="E160" s="1" t="n">
        <v>46241</v>
      </c>
      <c r="F160" t="inlineStr">
        <is>
          <t>ÖREBRO LÄN</t>
        </is>
      </c>
      <c r="G160" t="inlineStr">
        <is>
          <t>LJUSNARSBERG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46241</v>
      </c>
      <c r="F161" t="inlineStr">
        <is>
          <t>ÖREBRO LÄN</t>
        </is>
      </c>
      <c r="G161" t="inlineStr">
        <is>
          <t>LJUSNARSBERG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57129-2021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46241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44999</v>
      </c>
      <c r="E163" s="1" t="n">
        <v>46241</v>
      </c>
      <c r="F163" t="inlineStr">
        <is>
          <t>ÖREBRO LÄN</t>
        </is>
      </c>
      <c r="G163" t="inlineStr">
        <is>
          <t>LJUSNARSBERG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45399</v>
      </c>
      <c r="E164" s="1" t="n">
        <v>46241</v>
      </c>
      <c r="F164" t="inlineStr">
        <is>
          <t>ÖREBRO LÄN</t>
        </is>
      </c>
      <c r="G164" t="inlineStr">
        <is>
          <t>LJUSNARSBERG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46146-2022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46241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46241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44607</v>
      </c>
      <c r="E167" s="1" t="n">
        <v>46241</v>
      </c>
      <c r="F167" t="inlineStr">
        <is>
          <t>ÖREBRO LÄN</t>
        </is>
      </c>
      <c r="G167" t="inlineStr">
        <is>
          <t>LJUSNARSBERG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46241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62843-2021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44503</v>
      </c>
      <c r="E169" s="1" t="n">
        <v>46241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45177</v>
      </c>
      <c r="E170" s="1" t="n">
        <v>46241</v>
      </c>
      <c r="F170" t="inlineStr">
        <is>
          <t>ÖREBRO LÄN</t>
        </is>
      </c>
      <c r="G170" t="inlineStr">
        <is>
          <t>LJUSNARSBERG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45265</v>
      </c>
      <c r="E171" s="1" t="n">
        <v>46241</v>
      </c>
      <c r="F171" t="inlineStr">
        <is>
          <t>ÖREBRO LÄN</t>
        </is>
      </c>
      <c r="G171" t="inlineStr">
        <is>
          <t>LJUSNARSBERG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46241</v>
      </c>
      <c r="F172" t="inlineStr">
        <is>
          <t>ÖREBRO LÄN</t>
        </is>
      </c>
      <c r="G172" t="inlineStr">
        <is>
          <t>LJUSNARSBERG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46241</v>
      </c>
      <c r="F173" t="inlineStr">
        <is>
          <t>ÖREBRO LÄN</t>
        </is>
      </c>
      <c r="G173" t="inlineStr">
        <is>
          <t>LJUSNARSBERG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46241</v>
      </c>
      <c r="F174" t="inlineStr">
        <is>
          <t>ÖREBRO LÄN</t>
        </is>
      </c>
      <c r="G174" t="inlineStr">
        <is>
          <t>LJUSNARSBERG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44916</v>
      </c>
      <c r="E175" s="1" t="n">
        <v>46241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45030</v>
      </c>
      <c r="E176" s="1" t="n">
        <v>46241</v>
      </c>
      <c r="F176" t="inlineStr">
        <is>
          <t>ÖREBRO LÄN</t>
        </is>
      </c>
      <c r="G176" t="inlineStr">
        <is>
          <t>LJUSNARSBERG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46241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45106</v>
      </c>
      <c r="E178" s="1" t="n">
        <v>46241</v>
      </c>
      <c r="F178" t="inlineStr">
        <is>
          <t>ÖREBRO LÄN</t>
        </is>
      </c>
      <c r="G178" t="inlineStr">
        <is>
          <t>LJUSNARSBERG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46241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44690</v>
      </c>
      <c r="E180" s="1" t="n">
        <v>46241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59495-2024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45638</v>
      </c>
      <c r="E181" s="1" t="n">
        <v>46241</v>
      </c>
      <c r="F181" t="inlineStr">
        <is>
          <t>ÖREBRO LÄN</t>
        </is>
      </c>
      <c r="G181" t="inlineStr">
        <is>
          <t>LJUSNARSBERG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62810-2021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44503</v>
      </c>
      <c r="E182" s="1" t="n">
        <v>46241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46241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46241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46241</v>
      </c>
      <c r="F185" t="inlineStr">
        <is>
          <t>ÖREBRO LÄN</t>
        </is>
      </c>
      <c r="G185" t="inlineStr">
        <is>
          <t>LJUSNARSBERG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46241</v>
      </c>
      <c r="F186" t="inlineStr">
        <is>
          <t>ÖREBRO LÄN</t>
        </is>
      </c>
      <c r="G186" t="inlineStr">
        <is>
          <t>LJUSNARSBERG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46241</v>
      </c>
      <c r="F187" t="inlineStr">
        <is>
          <t>ÖREBRO LÄN</t>
        </is>
      </c>
      <c r="G187" t="inlineStr">
        <is>
          <t>LJUSNARSBERG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46241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45142</v>
      </c>
      <c r="E189" s="1" t="n">
        <v>46241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46241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45106</v>
      </c>
      <c r="E191" s="1" t="n">
        <v>46241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45807</v>
      </c>
      <c r="E192" s="1" t="n">
        <v>46241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20673-2025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45776</v>
      </c>
      <c r="E193" s="1" t="n">
        <v>46241</v>
      </c>
      <c r="F193" t="inlineStr">
        <is>
          <t>ÖREBRO LÄN</t>
        </is>
      </c>
      <c r="G193" t="inlineStr">
        <is>
          <t>LJUSNARSBERG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46241</v>
      </c>
      <c r="F194" t="inlineStr">
        <is>
          <t>ÖREBRO LÄN</t>
        </is>
      </c>
      <c r="G194" t="inlineStr">
        <is>
          <t>LJUSNARSBERG</t>
        </is>
      </c>
      <c r="H194" t="inlineStr">
        <is>
          <t>Sveaskog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46241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46241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46241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46241</v>
      </c>
      <c r="F198" t="inlineStr">
        <is>
          <t>ÖREBRO LÄN</t>
        </is>
      </c>
      <c r="G198" t="inlineStr">
        <is>
          <t>LJUSNARSBERG</t>
        </is>
      </c>
      <c r="H198" t="inlineStr">
        <is>
          <t>Kyrkan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3541-2022</t>
        </is>
      </c>
      <c r="B199" t="inlineStr">
        <is>
          <t>samrådsanmälan</t>
        </is>
      </c>
      <c r="C199" t="inlineStr">
        <is>
          <t>Skogsbilväg</t>
        </is>
      </c>
      <c r="D199" s="1" t="n">
        <v>44734</v>
      </c>
      <c r="E199" s="1" t="n">
        <v>46241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10473-2021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44559</v>
      </c>
      <c r="E200" s="1" t="n">
        <v>46241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410-2022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44585</v>
      </c>
      <c r="E201" s="1" t="n">
        <v>46241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1099-2022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44615</v>
      </c>
      <c r="E202" s="1" t="n">
        <v>46241</v>
      </c>
      <c r="F202" t="inlineStr">
        <is>
          <t>ÖREBRO LÄN</t>
        </is>
      </c>
      <c r="G202" t="inlineStr">
        <is>
          <t>LJUSNARSBERG</t>
        </is>
      </c>
      <c r="H202" t="inlineStr">
        <is>
          <t>Sveaskog</t>
        </is>
      </c>
      <c r="I202" t="n">
        <v>147.4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880-2024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45376</v>
      </c>
      <c r="E203" s="1" t="n">
        <v>46241</v>
      </c>
      <c r="F203" t="inlineStr">
        <is>
          <t>ÖREBRO LÄN</t>
        </is>
      </c>
      <c r="G203" t="inlineStr">
        <is>
          <t>LJUSNARSBERG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3528-2023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45205</v>
      </c>
      <c r="E204" s="1" t="n">
        <v>46241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7278-2021</t>
        </is>
      </c>
      <c r="B205" t="inlineStr">
        <is>
          <t>samrådsanmälan</t>
        </is>
      </c>
      <c r="C205" t="inlineStr">
        <is>
          <t>Åtgärd i nyckelbiotop</t>
        </is>
      </c>
      <c r="D205" s="1" t="n">
        <v>44467</v>
      </c>
      <c r="E205" s="1" t="n">
        <v>46241</v>
      </c>
      <c r="F205" t="inlineStr">
        <is>
          <t>ÖREBRO LÄN</t>
        </is>
      </c>
      <c r="G205" t="inlineStr">
        <is>
          <t>LJUSNARSBERG</t>
        </is>
      </c>
      <c r="H205" t="inlineStr">
        <is>
          <t>Kommuner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46241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7277-2021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44467</v>
      </c>
      <c r="E207" s="1" t="n">
        <v>46241</v>
      </c>
      <c r="F207" t="inlineStr">
        <is>
          <t>ÖREBRO LÄN</t>
        </is>
      </c>
      <c r="G207" t="inlineStr">
        <is>
          <t>LJUSNARSBERG</t>
        </is>
      </c>
      <c r="H207" t="inlineStr">
        <is>
          <t>Kommuner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2836-2023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45167</v>
      </c>
      <c r="E208" s="1" t="n">
        <v>46241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707-2025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45720</v>
      </c>
      <c r="E209" s="1" t="n">
        <v>46241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1972-2025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45832</v>
      </c>
      <c r="E210" s="1" t="n">
        <v>46241</v>
      </c>
      <c r="F210" t="inlineStr">
        <is>
          <t>ÖREBRO LÄN</t>
        </is>
      </c>
      <c r="G210" t="inlineStr">
        <is>
          <t>LJUSNARSBERG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3578-2025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46010</v>
      </c>
      <c r="E211" s="1" t="n">
        <v>46241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603-2026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46085</v>
      </c>
      <c r="E212" s="1" t="n">
        <v>46241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125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46241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46241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2026-08-07T01:52:34Z</dcterms:created>
  <dcterms:modified xmlns:dcterms="http://purl.org/dc/terms/" xmlns:xsi="http://www.w3.org/2001/XMLSchema-instance" xsi:type="dcterms:W3CDTF">2026-08-07T01:52:34Z</dcterms:modified>
</cp:coreProperties>
</file>