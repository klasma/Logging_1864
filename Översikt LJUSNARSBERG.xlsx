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46303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46303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46303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46303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46303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46303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46303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46303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46303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46303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46303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46303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46303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46303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46303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46303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46303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46303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18857-2026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46303</v>
      </c>
      <c r="F24" t="inlineStr">
        <is>
          <t>ÖREBRO LÄN</t>
        </is>
      </c>
      <c r="G24" t="inlineStr">
        <is>
          <t>LJUSNARSBERG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Trana</t>
        </is>
      </c>
      <c r="W24">
        <f>HYPERLINK("https://klasma.github.io/Logging_1864/artfynd/A 18857-2026 artfynd.xlsx", "A 18857-2026")</f>
        <v/>
      </c>
      <c r="X24">
        <f>HYPERLINK("https://klasma.github.io/Logging_1864/kartor/A 18857-2026 karta.png", "A 18857-2026")</f>
        <v/>
      </c>
      <c r="Y24">
        <f>HYPERLINK("https://klasma.github.io/Logging_1864/kartor_geotiff/A 18857-2026 georefererad karta.tif", "A 18857-2026")</f>
        <v/>
      </c>
      <c r="AA24">
        <f>HYPERLINK("https://klasma.github.io/Logging_1864/klagomål/A 18857-2026 FSC-klagomål.docx", "A 18857-2026")</f>
        <v/>
      </c>
      <c r="AB24">
        <f>HYPERLINK("https://klasma.github.io/Logging_1864/klagomålsmail/A 18857-2026 FSC-klagomål mail.docx", "A 18857-2026")</f>
        <v/>
      </c>
      <c r="AC24">
        <f>HYPERLINK("https://klasma.github.io/Logging_1864/tillsyn/A 18857-2026 tillsynsbegäran.docx", "A 18857-2026")</f>
        <v/>
      </c>
      <c r="AD24">
        <f>HYPERLINK("https://klasma.github.io/Logging_1864/tillsynsmail/A 18857-2026 tillsynsbegäran mail.docx", "A 18857-2026")</f>
        <v/>
      </c>
      <c r="AE24">
        <f>HYPERLINK("https://klasma.github.io/Logging_1864/fåglar/A 18857-2026 prioriterade fågelarter.docx", "A 18857-2026")</f>
        <v/>
      </c>
    </row>
    <row r="25" ht="15" customHeight="1">
      <c r="A25" t="inlineStr">
        <is>
          <t>A 20797-2022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44701</v>
      </c>
      <c r="E25" s="1" t="n">
        <v>46303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HYPERLINK("https://klasma.github.io/Logging_1864/artfynd/A 20797-2022 artfynd.xlsx", "A 20797-2022")</f>
        <v/>
      </c>
      <c r="X25">
        <f>HYPERLINK("https://klasma.github.io/Logging_1864/kartor/A 20797-2022 karta.png", "A 20797-2022")</f>
        <v/>
      </c>
      <c r="Y25">
        <f>HYPERLINK("https://klasma.github.io/Logging_1864/kartor_geotiff/A 20797-2022 georefererad karta.tif", "A 20797-2022")</f>
        <v/>
      </c>
      <c r="AA25">
        <f>HYPERLINK("https://klasma.github.io/Logging_1864/klagomål/A 20797-2022 FSC-klagomål.docx", "A 20797-2022")</f>
        <v/>
      </c>
      <c r="AB25">
        <f>HYPERLINK("https://klasma.github.io/Logging_1864/klagomålsmail/A 20797-2022 FSC-klagomål mail.docx", "A 20797-2022")</f>
        <v/>
      </c>
      <c r="AC25">
        <f>HYPERLINK("https://klasma.github.io/Logging_1864/tillsyn/A 20797-2022 tillsynsbegäran.docx", "A 20797-2022")</f>
        <v/>
      </c>
      <c r="AD25">
        <f>HYPERLINK("https://klasma.github.io/Logging_1864/tillsynsmail/A 20797-2022 tillsynsbegäran mail.docx", "A 20797-2022")</f>
        <v/>
      </c>
    </row>
    <row r="26" ht="15" customHeight="1">
      <c r="A26" t="inlineStr">
        <is>
          <t>A 24348-2026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46303</v>
      </c>
      <c r="F26" t="inlineStr">
        <is>
          <t>ÖREBRO LÄN</t>
        </is>
      </c>
      <c r="G26" t="inlineStr">
        <is>
          <t>LJUSNARSBERG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HYPERLINK("https://klasma.github.io/Logging_1864/artfynd/A 24348-2026 artfynd.xlsx", "A 24348-2026")</f>
        <v/>
      </c>
      <c r="X26">
        <f>HYPERLINK("https://klasma.github.io/Logging_1864/kartor/A 24348-2026 karta.png", "A 24348-2026")</f>
        <v/>
      </c>
      <c r="Y26">
        <f>HYPERLINK("https://klasma.github.io/Logging_1864/kartor_geotiff/A 24348-2026 georefererad karta.tif", "A 24348-2026")</f>
        <v/>
      </c>
      <c r="AA26">
        <f>HYPERLINK("https://klasma.github.io/Logging_1864/klagomål/A 24348-2026 FSC-klagomål.docx", "A 24348-2026")</f>
        <v/>
      </c>
      <c r="AB26">
        <f>HYPERLINK("https://klasma.github.io/Logging_1864/klagomålsmail/A 24348-2026 FSC-klagomål mail.docx", "A 24348-2026")</f>
        <v/>
      </c>
      <c r="AC26">
        <f>HYPERLINK("https://klasma.github.io/Logging_1864/tillsyn/A 24348-2026 tillsynsbegäran.docx", "A 24348-2026")</f>
        <v/>
      </c>
      <c r="AD26">
        <f>HYPERLINK("https://klasma.github.io/Logging_1864/tillsynsmail/A 24348-2026 tillsynsbegäran mail.docx", "A 24348-2026")</f>
        <v/>
      </c>
      <c r="AE26">
        <f>HYPERLINK("https://klasma.github.io/Logging_1864/fåglar/A 24348-2026 prioriterade fågelarter.docx", "A 24348-2026")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46303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19940-2026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46303</v>
      </c>
      <c r="F28" t="inlineStr">
        <is>
          <t>ÖREBRO LÄN</t>
        </is>
      </c>
      <c r="G28" t="inlineStr">
        <is>
          <t>LJUSNARSBERG</t>
        </is>
      </c>
      <c r="H28" t="inlineStr">
        <is>
          <t>Sveaskog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HYPERLINK("https://klasma.github.io/Logging_1864/artfynd/A 19940-2026 artfynd.xlsx", "A 19940-2026")</f>
        <v/>
      </c>
      <c r="X28">
        <f>HYPERLINK("https://klasma.github.io/Logging_1864/kartor/A 19940-2026 karta.png", "A 19940-2026")</f>
        <v/>
      </c>
      <c r="Y28">
        <f>HYPERLINK("https://klasma.github.io/Logging_1864/kartor_geotiff/A 19940-2026 georefererad karta.tif", "A 19940-2026")</f>
        <v/>
      </c>
      <c r="AA28">
        <f>HYPERLINK("https://klasma.github.io/Logging_1864/klagomål/A 19940-2026 FSC-klagomål.docx", "A 19940-2026")</f>
        <v/>
      </c>
      <c r="AB28">
        <f>HYPERLINK("https://klasma.github.io/Logging_1864/klagomålsmail/A 19940-2026 FSC-klagomål mail.docx", "A 19940-2026")</f>
        <v/>
      </c>
      <c r="AC28">
        <f>HYPERLINK("https://klasma.github.io/Logging_1864/tillsyn/A 19940-2026 tillsynsbegäran.docx", "A 19940-2026")</f>
        <v/>
      </c>
      <c r="AD28">
        <f>HYPERLINK("https://klasma.github.io/Logging_1864/tillsynsmail/A 19940-2026 tillsynsbegäran mail.docx", "A 19940-2026")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46303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46303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46303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46303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46303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46303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46303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46303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46303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46303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46303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46303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46303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46303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62810-2021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46303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46303</v>
      </c>
      <c r="F44" t="inlineStr">
        <is>
          <t>ÖREBRO LÄN</t>
        </is>
      </c>
      <c r="G44" t="inlineStr">
        <is>
          <t>LJUSNARSBERG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45103</v>
      </c>
      <c r="E45" s="1" t="n">
        <v>46303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52489-2022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46303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46303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12.8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45478</v>
      </c>
      <c r="E48" s="1" t="n">
        <v>46303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46303</v>
      </c>
      <c r="F49" t="inlineStr">
        <is>
          <t>ÖREBRO LÄN</t>
        </is>
      </c>
      <c r="G49" t="inlineStr">
        <is>
          <t>LJUSNARSBERG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46303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18975-2025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45764</v>
      </c>
      <c r="E51" s="1" t="n">
        <v>46303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46303</v>
      </c>
      <c r="F52" t="inlineStr">
        <is>
          <t>ÖREBRO LÄN</t>
        </is>
      </c>
      <c r="G52" t="inlineStr">
        <is>
          <t>LJUSNARSBERG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46303</v>
      </c>
      <c r="F53" t="inlineStr">
        <is>
          <t>ÖREBRO LÄN</t>
        </is>
      </c>
      <c r="G53" t="inlineStr">
        <is>
          <t>LJUSNARSBERG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45593</v>
      </c>
      <c r="E54" s="1" t="n">
        <v>46303</v>
      </c>
      <c r="F54" t="inlineStr">
        <is>
          <t>ÖREBRO LÄN</t>
        </is>
      </c>
      <c r="G54" t="inlineStr">
        <is>
          <t>LJUSNARSBERG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46303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46303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30172-2023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46303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25098-2023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45086</v>
      </c>
      <c r="E58" s="1" t="n">
        <v>46303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46303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34926-2023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46303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46303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46303</v>
      </c>
      <c r="F62" t="inlineStr">
        <is>
          <t>ÖREBRO LÄN</t>
        </is>
      </c>
      <c r="G62" t="inlineStr">
        <is>
          <t>LJUSNARSBERG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46303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46303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46303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46303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45106</v>
      </c>
      <c r="E67" s="1" t="n">
        <v>46303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46303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46303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46303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41420-2025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46303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18.1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46303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45394</v>
      </c>
      <c r="E73" s="1" t="n">
        <v>46303</v>
      </c>
      <c r="F73" t="inlineStr">
        <is>
          <t>ÖREBRO LÄN</t>
        </is>
      </c>
      <c r="G73" t="inlineStr">
        <is>
          <t>LJUSNARSBERG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45574</v>
      </c>
      <c r="E74" s="1" t="n">
        <v>46303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42287-2025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46303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45909</v>
      </c>
      <c r="E76" s="1" t="n">
        <v>46303</v>
      </c>
      <c r="F76" t="inlineStr">
        <is>
          <t>ÖREBRO LÄN</t>
        </is>
      </c>
      <c r="G76" t="inlineStr">
        <is>
          <t>LJUSNARSBERG</t>
        </is>
      </c>
      <c r="I76" t="n">
        <v>17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46303</v>
      </c>
      <c r="F77" t="inlineStr">
        <is>
          <t>ÖREBRO LÄN</t>
        </is>
      </c>
      <c r="G77" t="inlineStr">
        <is>
          <t>LJUSNARSBERG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46303</v>
      </c>
      <c r="F78" t="inlineStr">
        <is>
          <t>ÖREBRO LÄN</t>
        </is>
      </c>
      <c r="G78" t="inlineStr">
        <is>
          <t>LJUSNARSBERG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46303</v>
      </c>
      <c r="F79" t="inlineStr">
        <is>
          <t>ÖREBRO LÄN</t>
        </is>
      </c>
      <c r="G79" t="inlineStr">
        <is>
          <t>LJUSNARSBERG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45807</v>
      </c>
      <c r="E80" s="1" t="n">
        <v>46303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45124</v>
      </c>
      <c r="E81" s="1" t="n">
        <v>46303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45124</v>
      </c>
      <c r="E82" s="1" t="n">
        <v>46303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46303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45347</v>
      </c>
      <c r="E84" s="1" t="n">
        <v>46303</v>
      </c>
      <c r="F84" t="inlineStr">
        <is>
          <t>ÖREBRO LÄN</t>
        </is>
      </c>
      <c r="G84" t="inlineStr">
        <is>
          <t>LJUSNARSBERG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20673-2025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45776</v>
      </c>
      <c r="E85" s="1" t="n">
        <v>46303</v>
      </c>
      <c r="F85" t="inlineStr">
        <is>
          <t>ÖREBRO LÄN</t>
        </is>
      </c>
      <c r="G85" t="inlineStr">
        <is>
          <t>LJUSNARSBERG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46303</v>
      </c>
      <c r="F86" t="inlineStr">
        <is>
          <t>ÖREBRO LÄN</t>
        </is>
      </c>
      <c r="G86" t="inlineStr">
        <is>
          <t>LJUSNARSBERG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45925</v>
      </c>
      <c r="E87" s="1" t="n">
        <v>46303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46303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44880</v>
      </c>
      <c r="E89" s="1" t="n">
        <v>46303</v>
      </c>
      <c r="F89" t="inlineStr">
        <is>
          <t>ÖREBRO LÄN</t>
        </is>
      </c>
      <c r="G89" t="inlineStr">
        <is>
          <t>LJUSNARSBERG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45826</v>
      </c>
      <c r="E90" s="1" t="n">
        <v>46303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46303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46082-2024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46303</v>
      </c>
      <c r="F92" t="inlineStr">
        <is>
          <t>ÖREBRO LÄN</t>
        </is>
      </c>
      <c r="G92" t="inlineStr">
        <is>
          <t>LJUSNARSBERG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44564</v>
      </c>
      <c r="E93" s="1" t="n">
        <v>46303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46303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46303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46303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46303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46303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46303</v>
      </c>
      <c r="F99" t="inlineStr">
        <is>
          <t>ÖREBRO LÄN</t>
        </is>
      </c>
      <c r="G99" t="inlineStr">
        <is>
          <t>LJUSNARSBERG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46303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59497-2024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45638</v>
      </c>
      <c r="E101" s="1" t="n">
        <v>46303</v>
      </c>
      <c r="F101" t="inlineStr">
        <is>
          <t>ÖREBRO LÄN</t>
        </is>
      </c>
      <c r="G101" t="inlineStr">
        <is>
          <t>LJUSNARSBERG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22887-2024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45448</v>
      </c>
      <c r="E102" s="1" t="n">
        <v>46303</v>
      </c>
      <c r="F102" t="inlineStr">
        <is>
          <t>ÖREBRO LÄN</t>
        </is>
      </c>
      <c r="G102" t="inlineStr">
        <is>
          <t>LJUSNARSBERG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50865-2025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45946</v>
      </c>
      <c r="E103" s="1" t="n">
        <v>46303</v>
      </c>
      <c r="F103" t="inlineStr">
        <is>
          <t>ÖREBRO LÄN</t>
        </is>
      </c>
      <c r="G103" t="inlineStr">
        <is>
          <t>LJUSNARSBERG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46303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46303</v>
      </c>
      <c r="F105" t="inlineStr">
        <is>
          <t>ÖREBRO LÄN</t>
        </is>
      </c>
      <c r="G105" t="inlineStr">
        <is>
          <t>LJUSNARSBERG</t>
        </is>
      </c>
      <c r="H105" t="inlineStr">
        <is>
          <t>Kyrkan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25671-2024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46303</v>
      </c>
      <c r="F106" t="inlineStr">
        <is>
          <t>ÖREBRO LÄN</t>
        </is>
      </c>
      <c r="G106" t="inlineStr">
        <is>
          <t>LJUSNARSBERG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44999</v>
      </c>
      <c r="E107" s="1" t="n">
        <v>46303</v>
      </c>
      <c r="F107" t="inlineStr">
        <is>
          <t>ÖREBRO LÄN</t>
        </is>
      </c>
      <c r="G107" t="inlineStr">
        <is>
          <t>LJUSNARSBERG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46303</v>
      </c>
      <c r="F108" t="inlineStr">
        <is>
          <t>ÖREBRO LÄN</t>
        </is>
      </c>
      <c r="G108" t="inlineStr">
        <is>
          <t>LJUSNARSBERG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46303</v>
      </c>
      <c r="F109" t="inlineStr">
        <is>
          <t>ÖREBRO LÄN</t>
        </is>
      </c>
      <c r="G109" t="inlineStr">
        <is>
          <t>LJUSNARSBERG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45578</v>
      </c>
      <c r="E110" s="1" t="n">
        <v>46303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45574</v>
      </c>
      <c r="E111" s="1" t="n">
        <v>46303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45659</v>
      </c>
      <c r="E112" s="1" t="n">
        <v>46303</v>
      </c>
      <c r="F112" t="inlineStr">
        <is>
          <t>ÖREBRO LÄN</t>
        </is>
      </c>
      <c r="G112" t="inlineStr">
        <is>
          <t>LJUSNARSBERG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46303</v>
      </c>
      <c r="F113" t="inlineStr">
        <is>
          <t>ÖREBRO LÄN</t>
        </is>
      </c>
      <c r="G113" t="inlineStr">
        <is>
          <t>LJUSNARSBERG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46303</v>
      </c>
      <c r="F114" t="inlineStr">
        <is>
          <t>ÖREBRO LÄN</t>
        </is>
      </c>
      <c r="G114" t="inlineStr">
        <is>
          <t>LJUSNARSBERG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46303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46303</v>
      </c>
      <c r="F116" t="inlineStr">
        <is>
          <t>ÖREBRO LÄN</t>
        </is>
      </c>
      <c r="G116" t="inlineStr">
        <is>
          <t>LJUSNARSBERG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45649</v>
      </c>
      <c r="E117" s="1" t="n">
        <v>46303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46303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27343-2025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46303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45583</v>
      </c>
      <c r="E120" s="1" t="n">
        <v>46303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46085-2024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46303</v>
      </c>
      <c r="F121" t="inlineStr">
        <is>
          <t>ÖREBRO LÄN</t>
        </is>
      </c>
      <c r="G121" t="inlineStr">
        <is>
          <t>LJUSNARSBERG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45608</v>
      </c>
      <c r="E122" s="1" t="n">
        <v>46303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46303</v>
      </c>
      <c r="F123" t="inlineStr">
        <is>
          <t>ÖREBRO LÄN</t>
        </is>
      </c>
      <c r="G123" t="inlineStr">
        <is>
          <t>LJUSNARSBERG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46303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8.5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46303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45533</v>
      </c>
      <c r="E126" s="1" t="n">
        <v>46303</v>
      </c>
      <c r="F126" t="inlineStr">
        <is>
          <t>ÖREBRO LÄN</t>
        </is>
      </c>
      <c r="G126" t="inlineStr">
        <is>
          <t>LJUSNARSBERG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25574-2023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45089</v>
      </c>
      <c r="E127" s="1" t="n">
        <v>46303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46303</v>
      </c>
      <c r="F128" t="inlineStr">
        <is>
          <t>ÖREBRO LÄN</t>
        </is>
      </c>
      <c r="G128" t="inlineStr">
        <is>
          <t>LJUSNARSBERG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44694</v>
      </c>
      <c r="E129" s="1" t="n">
        <v>46303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45085</v>
      </c>
      <c r="E130" s="1" t="n">
        <v>46303</v>
      </c>
      <c r="F130" t="inlineStr">
        <is>
          <t>ÖREBRO LÄN</t>
        </is>
      </c>
      <c r="G130" t="inlineStr">
        <is>
          <t>LJUSNARSBERG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45124</v>
      </c>
      <c r="E131" s="1" t="n">
        <v>46303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46303</v>
      </c>
      <c r="F132" t="inlineStr">
        <is>
          <t>ÖREBRO LÄN</t>
        </is>
      </c>
      <c r="G132" t="inlineStr">
        <is>
          <t>LJUSNARSBERG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46146</v>
      </c>
      <c r="E133" s="1" t="n">
        <v>46303</v>
      </c>
      <c r="F133" t="inlineStr">
        <is>
          <t>ÖREBRO LÄN</t>
        </is>
      </c>
      <c r="G133" t="inlineStr">
        <is>
          <t>LJUSNARSBERG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46303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46303</v>
      </c>
      <c r="F135" t="inlineStr">
        <is>
          <t>ÖREBRO LÄN</t>
        </is>
      </c>
      <c r="G135" t="inlineStr">
        <is>
          <t>LJUSNARSBERG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46303</v>
      </c>
      <c r="F136" t="inlineStr">
        <is>
          <t>ÖREBRO LÄN</t>
        </is>
      </c>
      <c r="G136" t="inlineStr">
        <is>
          <t>LJUSNARSBERG</t>
        </is>
      </c>
      <c r="I136" t="n">
        <v>14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46303</v>
      </c>
      <c r="F137" t="inlineStr">
        <is>
          <t>ÖREBRO LÄN</t>
        </is>
      </c>
      <c r="G137" t="inlineStr">
        <is>
          <t>LJUSNARSBERG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45614</v>
      </c>
      <c r="E138" s="1" t="n">
        <v>46303</v>
      </c>
      <c r="F138" t="inlineStr">
        <is>
          <t>ÖREBRO LÄN</t>
        </is>
      </c>
      <c r="G138" t="inlineStr">
        <is>
          <t>LJUSNARSBERG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46303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44739</v>
      </c>
      <c r="E140" s="1" t="n">
        <v>46303</v>
      </c>
      <c r="F140" t="inlineStr">
        <is>
          <t>ÖREBRO LÄN</t>
        </is>
      </c>
      <c r="G140" t="inlineStr">
        <is>
          <t>LJUSNARSBERG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46303</v>
      </c>
      <c r="F141" t="inlineStr">
        <is>
          <t>ÖREBRO LÄN</t>
        </is>
      </c>
      <c r="G141" t="inlineStr">
        <is>
          <t>LJUSNARSBERG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46303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46303</v>
      </c>
      <c r="F143" t="inlineStr">
        <is>
          <t>ÖREBRO LÄN</t>
        </is>
      </c>
      <c r="G143" t="inlineStr">
        <is>
          <t>LJUSNARSBERG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46303</v>
      </c>
      <c r="F144" t="inlineStr">
        <is>
          <t>ÖREBRO LÄN</t>
        </is>
      </c>
      <c r="G144" t="inlineStr">
        <is>
          <t>LJUSNARSBERG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45155</v>
      </c>
      <c r="E145" s="1" t="n">
        <v>46303</v>
      </c>
      <c r="F145" t="inlineStr">
        <is>
          <t>ÖREBRO LÄN</t>
        </is>
      </c>
      <c r="G145" t="inlineStr">
        <is>
          <t>LJUSNARSBERG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46303</v>
      </c>
      <c r="F146" t="inlineStr">
        <is>
          <t>ÖREBRO LÄN</t>
        </is>
      </c>
      <c r="G146" t="inlineStr">
        <is>
          <t>LJUSNARSBERG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46303</v>
      </c>
      <c r="F147" t="inlineStr">
        <is>
          <t>ÖREBRO LÄN</t>
        </is>
      </c>
      <c r="G147" t="inlineStr">
        <is>
          <t>LJUSNARSBERG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44720</v>
      </c>
      <c r="E148" s="1" t="n">
        <v>46303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45419</v>
      </c>
      <c r="E149" s="1" t="n">
        <v>46303</v>
      </c>
      <c r="F149" t="inlineStr">
        <is>
          <t>ÖREBRO LÄN</t>
        </is>
      </c>
      <c r="G149" t="inlineStr">
        <is>
          <t>LJUSNARSBERG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46167</v>
      </c>
      <c r="E150" s="1" t="n">
        <v>46303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46303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63411-2025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46013</v>
      </c>
      <c r="E152" s="1" t="n">
        <v>46303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46303</v>
      </c>
      <c r="F153" t="inlineStr">
        <is>
          <t>ÖREBRO LÄN</t>
        </is>
      </c>
      <c r="G153" t="inlineStr">
        <is>
          <t>LJUSNARSBERG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46303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57129-2021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46303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46303</v>
      </c>
      <c r="F156" t="inlineStr">
        <is>
          <t>ÖREBRO LÄN</t>
        </is>
      </c>
      <c r="G156" t="inlineStr">
        <is>
          <t>LJUSNARSBERG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46303</v>
      </c>
      <c r="F157" t="inlineStr">
        <is>
          <t>ÖREBRO LÄN</t>
        </is>
      </c>
      <c r="G157" t="inlineStr">
        <is>
          <t>LJUSNARSBERG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44847</v>
      </c>
      <c r="E158" s="1" t="n">
        <v>46303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46303</v>
      </c>
      <c r="F159" t="inlineStr">
        <is>
          <t>ÖREBRO LÄN</t>
        </is>
      </c>
      <c r="G159" t="inlineStr">
        <is>
          <t>LJUSNARSBERG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44607</v>
      </c>
      <c r="E160" s="1" t="n">
        <v>46303</v>
      </c>
      <c r="F160" t="inlineStr">
        <is>
          <t>ÖREBRO LÄN</t>
        </is>
      </c>
      <c r="G160" t="inlineStr">
        <is>
          <t>LJUSNARSBERG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62843-2021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46303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45177</v>
      </c>
      <c r="E162" s="1" t="n">
        <v>46303</v>
      </c>
      <c r="F162" t="inlineStr">
        <is>
          <t>ÖREBRO LÄN</t>
        </is>
      </c>
      <c r="G162" t="inlineStr">
        <is>
          <t>LJUSNARSBERG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46183</v>
      </c>
      <c r="E163" s="1" t="n">
        <v>46303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46303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46303</v>
      </c>
      <c r="F165" t="inlineStr">
        <is>
          <t>ÖREBRO LÄN</t>
        </is>
      </c>
      <c r="G165" t="inlineStr">
        <is>
          <t>LJUSNARSBERG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46303</v>
      </c>
      <c r="F166" t="inlineStr">
        <is>
          <t>ÖREBRO LÄN</t>
        </is>
      </c>
      <c r="G166" t="inlineStr">
        <is>
          <t>LJUSNARSBERG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46303</v>
      </c>
      <c r="F167" t="inlineStr">
        <is>
          <t>ÖREBRO LÄN</t>
        </is>
      </c>
      <c r="G167" t="inlineStr">
        <is>
          <t>LJUSNARSBERG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46303</v>
      </c>
      <c r="F168" t="inlineStr">
        <is>
          <t>ÖREBRO LÄN</t>
        </is>
      </c>
      <c r="G168" t="inlineStr">
        <is>
          <t>LJUSNARSBERG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46303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46303</v>
      </c>
      <c r="F170" t="inlineStr">
        <is>
          <t>ÖREBRO LÄN</t>
        </is>
      </c>
      <c r="G170" t="inlineStr">
        <is>
          <t>LJUSNARSBERG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46133</v>
      </c>
      <c r="E171" s="1" t="n">
        <v>46303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46303</v>
      </c>
      <c r="F172" t="inlineStr">
        <is>
          <t>ÖREBRO LÄN</t>
        </is>
      </c>
      <c r="G172" t="inlineStr">
        <is>
          <t>LJUSNARSBERG</t>
        </is>
      </c>
      <c r="H172" t="inlineStr">
        <is>
          <t>Sveaskog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46303</v>
      </c>
      <c r="F173" t="inlineStr">
        <is>
          <t>ÖREBRO LÄN</t>
        </is>
      </c>
      <c r="G173" t="inlineStr">
        <is>
          <t>LJUSNARSBERG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45578</v>
      </c>
      <c r="E174" s="1" t="n">
        <v>46303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46303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46303</v>
      </c>
      <c r="F176" t="inlineStr">
        <is>
          <t>ÖREBRO LÄN</t>
        </is>
      </c>
      <c r="G176" t="inlineStr">
        <is>
          <t>LJUSNARSBERG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36771-2026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46303</v>
      </c>
      <c r="F177" t="inlineStr">
        <is>
          <t>ÖREBRO LÄN</t>
        </is>
      </c>
      <c r="G177" t="inlineStr">
        <is>
          <t>LJUSNARSBERG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46303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46272</v>
      </c>
      <c r="E179" s="1" t="n">
        <v>46303</v>
      </c>
      <c r="F179" t="inlineStr">
        <is>
          <t>ÖREBRO LÄN</t>
        </is>
      </c>
      <c r="G179" t="inlineStr">
        <is>
          <t>LJUSNARSBERG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46167</v>
      </c>
      <c r="E180" s="1" t="n">
        <v>46303</v>
      </c>
      <c r="F180" t="inlineStr">
        <is>
          <t>ÖREBRO LÄN</t>
        </is>
      </c>
      <c r="G180" t="inlineStr">
        <is>
          <t>LJUSNARSBERG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44690</v>
      </c>
      <c r="E181" s="1" t="n">
        <v>46303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46275</v>
      </c>
      <c r="E182" s="1" t="n">
        <v>46303</v>
      </c>
      <c r="F182" t="inlineStr">
        <is>
          <t>ÖREBRO LÄN</t>
        </is>
      </c>
      <c r="G182" t="inlineStr">
        <is>
          <t>LJUSNARSBERG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59495-2024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45638</v>
      </c>
      <c r="E183" s="1" t="n">
        <v>46303</v>
      </c>
      <c r="F183" t="inlineStr">
        <is>
          <t>ÖREBRO LÄN</t>
        </is>
      </c>
      <c r="G183" t="inlineStr">
        <is>
          <t>LJUSNARSBERG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46279</v>
      </c>
      <c r="E184" s="1" t="n">
        <v>46303</v>
      </c>
      <c r="F184" t="inlineStr">
        <is>
          <t>ÖREBRO LÄN</t>
        </is>
      </c>
      <c r="G184" t="inlineStr">
        <is>
          <t>LJUSNARSBERG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46303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46303</v>
      </c>
      <c r="F186" t="inlineStr">
        <is>
          <t>ÖREBRO LÄN</t>
        </is>
      </c>
      <c r="G186" t="inlineStr">
        <is>
          <t>LJUSNARSBERG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46303</v>
      </c>
      <c r="F187" t="inlineStr">
        <is>
          <t>ÖREBRO LÄN</t>
        </is>
      </c>
      <c r="G187" t="inlineStr">
        <is>
          <t>LJUSNARSBERG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46303</v>
      </c>
      <c r="F188" t="inlineStr">
        <is>
          <t>ÖREBRO LÄN</t>
        </is>
      </c>
      <c r="G188" t="inlineStr">
        <is>
          <t>LJUSNARSBERG</t>
        </is>
      </c>
      <c r="H188" t="inlineStr">
        <is>
          <t>Kyrkan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46303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46303</v>
      </c>
      <c r="F190" t="inlineStr">
        <is>
          <t>ÖREBRO LÄN</t>
        </is>
      </c>
      <c r="G190" t="inlineStr">
        <is>
          <t>LJUSNARSBERG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46303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46303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46303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46303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46300</v>
      </c>
      <c r="E195" s="1" t="n">
        <v>46303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46303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46301</v>
      </c>
      <c r="E197" s="1" t="n">
        <v>46303</v>
      </c>
      <c r="F197" t="inlineStr">
        <is>
          <t>ÖREBRO LÄN</t>
        </is>
      </c>
      <c r="G197" t="inlineStr">
        <is>
          <t>LJUSNARSBERG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46303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41490-2026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46303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46303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46303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46303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46303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46303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46303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46303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46303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46303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46303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46303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46303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46303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46303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46303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2026-10-08T02:07:15Z</dcterms:created>
  <dcterms:modified xmlns:dcterms="http://purl.org/dc/terms/" xmlns:xsi="http://www.w3.org/2001/XMLSchema-instance" xsi:type="dcterms:W3CDTF">2026-10-08T02:07:15Z</dcterms:modified>
</cp:coreProperties>
</file>