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46269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46269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46269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46269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46269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46269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46269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46269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46269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46269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46269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46269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46269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62105-2022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44920</v>
      </c>
      <c r="E15" s="1" t="n">
        <v>46269</v>
      </c>
      <c r="F15" t="inlineStr">
        <is>
          <t>ÖREBRO LÄN</t>
        </is>
      </c>
      <c r="G15" t="inlineStr">
        <is>
          <t>LJUSNARSBERG</t>
        </is>
      </c>
      <c r="I15" t="n">
        <v>5.7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7</v>
      </c>
      <c r="U15" t="n">
        <v>7</v>
      </c>
      <c r="V15" s="2" t="inlineStr">
        <is>
          <t>Spillkråka
Kungsfågel</t>
        </is>
      </c>
      <c r="W15">
        <f>HYPERLINK("https://klasma.github.io/Logging_1864/artfynd/A 62105-2022 artfynd.xlsx", "A 62105-2022")</f>
        <v/>
      </c>
      <c r="X15">
        <f>HYPERLINK("https://klasma.github.io/Logging_1864/kartor/A 62105-2022 karta.png", "A 62105-2022")</f>
        <v/>
      </c>
      <c r="Y15">
        <f>HYPERLINK("https://klasma.github.io/Logging_1864/kartor_geotiff/A 62105-2022 georefererad karta.tif", "A 62105-2022")</f>
        <v/>
      </c>
      <c r="AA15">
        <f>HYPERLINK("https://klasma.github.io/Logging_1864/klagomål/A 62105-2022 FSC-klagomål.docx", "A 62105-2022")</f>
        <v/>
      </c>
      <c r="AB15">
        <f>HYPERLINK("https://klasma.github.io/Logging_1864/klagomålsmail/A 62105-2022 FSC-klagomål mail.docx", "A 62105-2022")</f>
        <v/>
      </c>
      <c r="AC15">
        <f>HYPERLINK("https://klasma.github.io/Logging_1864/tillsyn/A 62105-2022 tillsynsbegäran.docx", "A 62105-2022")</f>
        <v/>
      </c>
      <c r="AD15">
        <f>HYPERLINK("https://klasma.github.io/Logging_1864/tillsynsmail/A 62105-2022 tillsynsbegäran mail.docx", "A 62105-2022")</f>
        <v/>
      </c>
      <c r="AE15">
        <f>HYPERLINK("https://klasma.github.io/Logging_1864/fåglar/A 62105-2022 prioriterade fågelarter.docx", "A 62105-2022")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46269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40854-2025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45897</v>
      </c>
      <c r="E17" s="1" t="n">
        <v>46269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Tvåblad
Nattviol</t>
        </is>
      </c>
      <c r="W17">
        <f>HYPERLINK("https://klasma.github.io/Logging_1864/artfynd/A 40854-2025 artfynd.xlsx", "A 40854-2025")</f>
        <v/>
      </c>
      <c r="X17">
        <f>HYPERLINK("https://klasma.github.io/Logging_1864/kartor/A 40854-2025 karta.png", "A 40854-2025")</f>
        <v/>
      </c>
      <c r="Y17">
        <f>HYPERLINK("https://klasma.github.io/Logging_1864/kartor_geotiff/A 40854-2025 georefererad karta.tif", "A 40854-2025")</f>
        <v/>
      </c>
      <c r="AA17">
        <f>HYPERLINK("https://klasma.github.io/Logging_1864/klagomål/A 40854-2025 FSC-klagomål.docx", "A 40854-2025")</f>
        <v/>
      </c>
      <c r="AB17">
        <f>HYPERLINK("https://klasma.github.io/Logging_1864/klagomålsmail/A 40854-2025 FSC-klagomål mail.docx", "A 40854-2025")</f>
        <v/>
      </c>
      <c r="AC17">
        <f>HYPERLINK("https://klasma.github.io/Logging_1864/tillsyn/A 40854-2025 tillsynsbegäran.docx", "A 40854-2025")</f>
        <v/>
      </c>
      <c r="AD17">
        <f>HYPERLINK("https://klasma.github.io/Logging_1864/tillsynsmail/A 40854-2025 tillsynsbegäran mail.docx", "A 40854-2025")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46269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46269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46269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20797-2022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44701</v>
      </c>
      <c r="E21" s="1" t="n">
        <v>46269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HYPERLINK("https://klasma.github.io/Logging_1864/artfynd/A 20797-2022 artfynd.xlsx", "A 20797-2022")</f>
        <v/>
      </c>
      <c r="X21">
        <f>HYPERLINK("https://klasma.github.io/Logging_1864/kartor/A 20797-2022 karta.png", "A 20797-2022")</f>
        <v/>
      </c>
      <c r="Y21">
        <f>HYPERLINK("https://klasma.github.io/Logging_1864/kartor_geotiff/A 20797-2022 georefererad karta.tif", "A 20797-2022")</f>
        <v/>
      </c>
      <c r="AA21">
        <f>HYPERLINK("https://klasma.github.io/Logging_1864/klagomål/A 20797-2022 FSC-klagomål.docx", "A 20797-2022")</f>
        <v/>
      </c>
      <c r="AB21">
        <f>HYPERLINK("https://klasma.github.io/Logging_1864/klagomålsmail/A 20797-2022 FSC-klagomål mail.docx", "A 20797-2022")</f>
        <v/>
      </c>
      <c r="AC21">
        <f>HYPERLINK("https://klasma.github.io/Logging_1864/tillsyn/A 20797-2022 tillsynsbegäran.docx", "A 20797-2022")</f>
        <v/>
      </c>
      <c r="AD21">
        <f>HYPERLINK("https://klasma.github.io/Logging_1864/tillsynsmail/A 20797-2022 tillsynsbegäran mail.docx", "A 20797-2022")</f>
        <v/>
      </c>
    </row>
    <row r="22" ht="15" customHeight="1">
      <c r="A22" t="inlineStr">
        <is>
          <t>A 19940-2026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46136</v>
      </c>
      <c r="E22" s="1" t="n">
        <v>46269</v>
      </c>
      <c r="F22" t="inlineStr">
        <is>
          <t>ÖREBRO LÄN</t>
        </is>
      </c>
      <c r="G22" t="inlineStr">
        <is>
          <t>LJUSNARSBERG</t>
        </is>
      </c>
      <c r="H22" t="inlineStr">
        <is>
          <t>Sveaskog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Fläcknycklar</t>
        </is>
      </c>
      <c r="W22">
        <f>HYPERLINK("https://klasma.github.io/Logging_1864/artfynd/A 19940-2026 artfynd.xlsx", "A 19940-2026")</f>
        <v/>
      </c>
      <c r="X22">
        <f>HYPERLINK("https://klasma.github.io/Logging_1864/kartor/A 19940-2026 karta.png", "A 19940-2026")</f>
        <v/>
      </c>
      <c r="Y22">
        <f>HYPERLINK("https://klasma.github.io/Logging_1864/kartor_geotiff/A 19940-2026 georefererad karta.tif", "A 19940-2026")</f>
        <v/>
      </c>
      <c r="AA22">
        <f>HYPERLINK("https://klasma.github.io/Logging_1864/klagomål/A 19940-2026 FSC-klagomål.docx", "A 19940-2026")</f>
        <v/>
      </c>
      <c r="AB22">
        <f>HYPERLINK("https://klasma.github.io/Logging_1864/klagomålsmail/A 19940-2026 FSC-klagomål mail.docx", "A 19940-2026")</f>
        <v/>
      </c>
      <c r="AC22">
        <f>HYPERLINK("https://klasma.github.io/Logging_1864/tillsyn/A 19940-2026 tillsynsbegäran.docx", "A 19940-2026")</f>
        <v/>
      </c>
      <c r="AD22">
        <f>HYPERLINK("https://klasma.github.io/Logging_1864/tillsynsmail/A 19940-2026 tillsynsbegäran mail.docx", "A 19940-2026")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46269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39095-2022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44817</v>
      </c>
      <c r="E24" s="1" t="n">
        <v>46269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4.8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Mattlummer</t>
        </is>
      </c>
      <c r="W24">
        <f>HYPERLINK("https://klasma.github.io/Logging_1864/artfynd/A 39095-2022 artfynd.xlsx", "A 39095-2022")</f>
        <v/>
      </c>
      <c r="X24">
        <f>HYPERLINK("https://klasma.github.io/Logging_1864/kartor/A 39095-2022 karta.png", "A 39095-2022")</f>
        <v/>
      </c>
      <c r="Y24">
        <f>HYPERLINK("https://klasma.github.io/Logging_1864/kartor_geotiff/A 39095-2022 georefererad karta.tif", "A 39095-2022")</f>
        <v/>
      </c>
      <c r="AA24">
        <f>HYPERLINK("https://klasma.github.io/Logging_1864/klagomål/A 39095-2022 FSC-klagomål.docx", "A 39095-2022")</f>
        <v/>
      </c>
      <c r="AB24">
        <f>HYPERLINK("https://klasma.github.io/Logging_1864/klagomålsmail/A 39095-2022 FSC-klagomål mail.docx", "A 39095-2022")</f>
        <v/>
      </c>
      <c r="AC24">
        <f>HYPERLINK("https://klasma.github.io/Logging_1864/tillsyn/A 39095-2022 tillsynsbegäran.docx", "A 39095-2022")</f>
        <v/>
      </c>
      <c r="AD24">
        <f>HYPERLINK("https://klasma.github.io/Logging_1864/tillsynsmail/A 39095-2022 tillsynsbegäran mail.docx", "A 39095-2022")</f>
        <v/>
      </c>
    </row>
    <row r="25" ht="15" customHeight="1">
      <c r="A25" t="inlineStr">
        <is>
          <t>A 18857-2026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46127</v>
      </c>
      <c r="E25" s="1" t="n">
        <v>46269</v>
      </c>
      <c r="F25" t="inlineStr">
        <is>
          <t>ÖREBRO LÄN</t>
        </is>
      </c>
      <c r="G25" t="inlineStr">
        <is>
          <t>LJUSNARSBERG</t>
        </is>
      </c>
      <c r="I25" t="n">
        <v>5.1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Trana</t>
        </is>
      </c>
      <c r="W25">
        <f>HYPERLINK("https://klasma.github.io/Logging_1864/artfynd/A 18857-2026 artfynd.xlsx", "A 18857-2026")</f>
        <v/>
      </c>
      <c r="X25">
        <f>HYPERLINK("https://klasma.github.io/Logging_1864/kartor/A 18857-2026 karta.png", "A 18857-2026")</f>
        <v/>
      </c>
      <c r="Y25">
        <f>HYPERLINK("https://klasma.github.io/Logging_1864/kartor_geotiff/A 18857-2026 georefererad karta.tif", "A 18857-2026")</f>
        <v/>
      </c>
      <c r="AA25">
        <f>HYPERLINK("https://klasma.github.io/Logging_1864/klagomål/A 18857-2026 FSC-klagomål.docx", "A 18857-2026")</f>
        <v/>
      </c>
      <c r="AB25">
        <f>HYPERLINK("https://klasma.github.io/Logging_1864/klagomålsmail/A 18857-2026 FSC-klagomål mail.docx", "A 18857-2026")</f>
        <v/>
      </c>
      <c r="AC25">
        <f>HYPERLINK("https://klasma.github.io/Logging_1864/tillsyn/A 18857-2026 tillsynsbegäran.docx", "A 18857-2026")</f>
        <v/>
      </c>
      <c r="AD25">
        <f>HYPERLINK("https://klasma.github.io/Logging_1864/tillsynsmail/A 18857-2026 tillsynsbegäran mail.docx", "A 18857-2026")</f>
        <v/>
      </c>
      <c r="AE25">
        <f>HYPERLINK("https://klasma.github.io/Logging_1864/fåglar/A 18857-2026 prioriterade fågelarter.docx", "A 18857-2026")</f>
        <v/>
      </c>
    </row>
    <row r="26" ht="15" customHeight="1">
      <c r="A26" t="inlineStr">
        <is>
          <t>A 24791-2024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45460</v>
      </c>
      <c r="E26" s="1" t="n">
        <v>46269</v>
      </c>
      <c r="F26" t="inlineStr">
        <is>
          <t>ÖREBRO LÄN</t>
        </is>
      </c>
      <c r="G26" t="inlineStr">
        <is>
          <t>LJUSNARSBERG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3</v>
      </c>
      <c r="V26" s="2" t="inlineStr">
        <is>
          <t>Spillkråka</t>
        </is>
      </c>
      <c r="W26">
        <f>HYPERLINK("https://klasma.github.io/Logging_1864/artfynd/A 24791-2024 artfynd.xlsx", "A 24791-2024")</f>
        <v/>
      </c>
      <c r="X26">
        <f>HYPERLINK("https://klasma.github.io/Logging_1864/kartor/A 24791-2024 karta.png", "A 24791-2024")</f>
        <v/>
      </c>
      <c r="Y26">
        <f>HYPERLINK("https://klasma.github.io/Logging_1864/kartor_geotiff/A 24791-2024 georefererad karta.tif", "A 24791-2024")</f>
        <v/>
      </c>
      <c r="AA26">
        <f>HYPERLINK("https://klasma.github.io/Logging_1864/klagomål/A 24791-2024 FSC-klagomål.docx", "A 24791-2024")</f>
        <v/>
      </c>
      <c r="AB26">
        <f>HYPERLINK("https://klasma.github.io/Logging_1864/klagomålsmail/A 24791-2024 FSC-klagomål mail.docx", "A 24791-2024")</f>
        <v/>
      </c>
      <c r="AC26">
        <f>HYPERLINK("https://klasma.github.io/Logging_1864/tillsyn/A 24791-2024 tillsynsbegäran.docx", "A 24791-2024")</f>
        <v/>
      </c>
      <c r="AD26">
        <f>HYPERLINK("https://klasma.github.io/Logging_1864/tillsynsmail/A 24791-2024 tillsynsbegäran mail.docx", "A 24791-2024")</f>
        <v/>
      </c>
      <c r="AE26">
        <f>HYPERLINK("https://klasma.github.io/Logging_1864/fåglar/A 24791-2024 prioriterade fågelarter.docx", "A 24791-2024")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46269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56859-2025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45975</v>
      </c>
      <c r="E28" s="1" t="n">
        <v>46269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Större vattensalamander</t>
        </is>
      </c>
      <c r="W28">
        <f>HYPERLINK("https://klasma.github.io/Logging_1864/artfynd/A 56859-2025 artfynd.xlsx", "A 56859-2025")</f>
        <v/>
      </c>
      <c r="X28">
        <f>HYPERLINK("https://klasma.github.io/Logging_1864/kartor/A 56859-2025 karta.png", "A 56859-2025")</f>
        <v/>
      </c>
      <c r="Y28">
        <f>HYPERLINK("https://klasma.github.io/Logging_1864/kartor_geotiff/A 56859-2025 georefererad karta.tif", "A 56859-2025")</f>
        <v/>
      </c>
      <c r="AA28">
        <f>HYPERLINK("https://klasma.github.io/Logging_1864/klagomål/A 56859-2025 FSC-klagomål.docx", "A 56859-2025")</f>
        <v/>
      </c>
      <c r="AB28">
        <f>HYPERLINK("https://klasma.github.io/Logging_1864/klagomålsmail/A 56859-2025 FSC-klagomål mail.docx", "A 56859-2025")</f>
        <v/>
      </c>
      <c r="AC28">
        <f>HYPERLINK("https://klasma.github.io/Logging_1864/tillsyn/A 56859-2025 tillsynsbegäran.docx", "A 56859-2025")</f>
        <v/>
      </c>
      <c r="AD28">
        <f>HYPERLINK("https://klasma.github.io/Logging_1864/tillsynsmail/A 56859-2025 tillsynsbegäran mail.docx", "A 56859-2025")</f>
        <v/>
      </c>
    </row>
    <row r="29" ht="15" customHeight="1">
      <c r="A29" t="inlineStr">
        <is>
          <t>A 45537-2024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45578</v>
      </c>
      <c r="E29" s="1" t="n">
        <v>46269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HYPERLINK("https://klasma.github.io/Logging_1864/artfynd/A 45537-2024 artfynd.xlsx", "A 45537-2024")</f>
        <v/>
      </c>
      <c r="X29">
        <f>HYPERLINK("https://klasma.github.io/Logging_1864/kartor/A 45537-2024 karta.png", "A 45537-2024")</f>
        <v/>
      </c>
      <c r="Y29">
        <f>HYPERLINK("https://klasma.github.io/Logging_1864/kartor_geotiff/A 45537-2024 georefererad karta.tif", "A 45537-2024")</f>
        <v/>
      </c>
      <c r="AA29">
        <f>HYPERLINK("https://klasma.github.io/Logging_1864/klagomål/A 45537-2024 FSC-klagomål.docx", "A 45537-2024")</f>
        <v/>
      </c>
      <c r="AB29">
        <f>HYPERLINK("https://klasma.github.io/Logging_1864/klagomålsmail/A 45537-2024 FSC-klagomål mail.docx", "A 45537-2024")</f>
        <v/>
      </c>
      <c r="AC29">
        <f>HYPERLINK("https://klasma.github.io/Logging_1864/tillsyn/A 45537-2024 tillsynsbegäran.docx", "A 45537-2024")</f>
        <v/>
      </c>
      <c r="AD29">
        <f>HYPERLINK("https://klasma.github.io/Logging_1864/tillsynsmail/A 45537-2024 tillsynsbegäran mail.docx", "A 45537-2024")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46269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46269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46269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46269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46269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46269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46269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46269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46269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46269</v>
      </c>
      <c r="F39" t="inlineStr">
        <is>
          <t>ÖREBRO LÄN</t>
        </is>
      </c>
      <c r="G39" t="inlineStr">
        <is>
          <t>LJUSNARSBERG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46269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46269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50552-2022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46269</v>
      </c>
      <c r="F42" t="inlineStr">
        <is>
          <t>ÖREBRO LÄN</t>
        </is>
      </c>
      <c r="G42" t="inlineStr">
        <is>
          <t>LJUSNARSBERG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44983-2024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45575</v>
      </c>
      <c r="E43" s="1" t="n">
        <v>46269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8.199999999999999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44939</v>
      </c>
      <c r="E44" s="1" t="n">
        <v>46269</v>
      </c>
      <c r="F44" t="inlineStr">
        <is>
          <t>ÖREBRO LÄN</t>
        </is>
      </c>
      <c r="G44" t="inlineStr">
        <is>
          <t>LJUSNARSBERG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46805-2024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45583</v>
      </c>
      <c r="E45" s="1" t="n">
        <v>46269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28778-2024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45478</v>
      </c>
      <c r="E46" s="1" t="n">
        <v>46269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44903</v>
      </c>
      <c r="E47" s="1" t="n">
        <v>46269</v>
      </c>
      <c r="F47" t="inlineStr">
        <is>
          <t>ÖREBRO LÄN</t>
        </is>
      </c>
      <c r="G47" t="inlineStr">
        <is>
          <t>LJUSNARSBERG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13389-2024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45387</v>
      </c>
      <c r="E48" s="1" t="n">
        <v>46269</v>
      </c>
      <c r="F48" t="inlineStr">
        <is>
          <t>ÖREBRO LÄN</t>
        </is>
      </c>
      <c r="G48" t="inlineStr">
        <is>
          <t>LJUSNARSBERG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45698</v>
      </c>
      <c r="E49" s="1" t="n">
        <v>46269</v>
      </c>
      <c r="F49" t="inlineStr">
        <is>
          <t>ÖREBRO LÄN</t>
        </is>
      </c>
      <c r="G49" t="inlineStr">
        <is>
          <t>LJUSNARSBERG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45593</v>
      </c>
      <c r="E50" s="1" t="n">
        <v>46269</v>
      </c>
      <c r="F50" t="inlineStr">
        <is>
          <t>ÖREBRO LÄN</t>
        </is>
      </c>
      <c r="G50" t="inlineStr">
        <is>
          <t>LJUSNARSBERG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25574-2023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45089</v>
      </c>
      <c r="E51" s="1" t="n">
        <v>46269</v>
      </c>
      <c r="F51" t="inlineStr">
        <is>
          <t>ÖREBRO LÄN</t>
        </is>
      </c>
      <c r="G51" t="inlineStr">
        <is>
          <t>LJUSNARSBERG</t>
        </is>
      </c>
      <c r="H51" t="inlineStr">
        <is>
          <t>Sveaskog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30172-2023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45110</v>
      </c>
      <c r="E52" s="1" t="n">
        <v>46269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10.8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34926-2023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45142</v>
      </c>
      <c r="E53" s="1" t="n">
        <v>46269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24921-2023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45085</v>
      </c>
      <c r="E54" s="1" t="n">
        <v>46269</v>
      </c>
      <c r="F54" t="inlineStr">
        <is>
          <t>ÖREBRO LÄN</t>
        </is>
      </c>
      <c r="G54" t="inlineStr">
        <is>
          <t>LJUSNARSBERG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52366-2024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45608</v>
      </c>
      <c r="E55" s="1" t="n">
        <v>46269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18938-2022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46269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44956</v>
      </c>
      <c r="E57" s="1" t="n">
        <v>46269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44858</v>
      </c>
      <c r="E58" s="1" t="n">
        <v>46269</v>
      </c>
      <c r="F58" t="inlineStr">
        <is>
          <t>ÖREBRO LÄN</t>
        </is>
      </c>
      <c r="G58" t="inlineStr">
        <is>
          <t>LJUSNARSBERG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45390</v>
      </c>
      <c r="E59" s="1" t="n">
        <v>46269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17.8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18975-2025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45764</v>
      </c>
      <c r="E60" s="1" t="n">
        <v>46269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29721-2023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45107</v>
      </c>
      <c r="E61" s="1" t="n">
        <v>46269</v>
      </c>
      <c r="F61" t="inlineStr">
        <is>
          <t>ÖREBRO LÄN</t>
        </is>
      </c>
      <c r="G61" t="inlineStr">
        <is>
          <t>LJUSNARSBERG</t>
        </is>
      </c>
      <c r="H61" t="inlineStr">
        <is>
          <t>Sveaskog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31763-2023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45106</v>
      </c>
      <c r="E62" s="1" t="n">
        <v>46269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11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46269</v>
      </c>
      <c r="F63" t="inlineStr">
        <is>
          <t>ÖREBRO LÄN</t>
        </is>
      </c>
      <c r="G63" t="inlineStr">
        <is>
          <t>LJUSNARSBERG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44468</v>
      </c>
      <c r="E64" s="1" t="n">
        <v>46269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26469-2025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45807</v>
      </c>
      <c r="E65" s="1" t="n">
        <v>46269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19368-2025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45769</v>
      </c>
      <c r="E66" s="1" t="n">
        <v>46269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20673-2025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45776</v>
      </c>
      <c r="E67" s="1" t="n">
        <v>46269</v>
      </c>
      <c r="F67" t="inlineStr">
        <is>
          <t>ÖREBRO LÄN</t>
        </is>
      </c>
      <c r="G67" t="inlineStr">
        <is>
          <t>LJUSNARSBERG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59627-2024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45638</v>
      </c>
      <c r="E68" s="1" t="n">
        <v>46269</v>
      </c>
      <c r="F68" t="inlineStr">
        <is>
          <t>ÖREBRO LÄN</t>
        </is>
      </c>
      <c r="G68" t="inlineStr">
        <is>
          <t>LJUSNARSBERG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44780-2024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45574</v>
      </c>
      <c r="E69" s="1" t="n">
        <v>46269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46269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17933-2024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45419</v>
      </c>
      <c r="E71" s="1" t="n">
        <v>46269</v>
      </c>
      <c r="F71" t="inlineStr">
        <is>
          <t>ÖREBRO LÄN</t>
        </is>
      </c>
      <c r="G71" t="inlineStr">
        <is>
          <t>LJUSNARSBERG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23372-2022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44720</v>
      </c>
      <c r="E72" s="1" t="n">
        <v>46269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19857-2022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44694</v>
      </c>
      <c r="E73" s="1" t="n">
        <v>46269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30774-2023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45112</v>
      </c>
      <c r="E74" s="1" t="n">
        <v>46269</v>
      </c>
      <c r="F74" t="inlineStr">
        <is>
          <t>ÖREBRO LÄN</t>
        </is>
      </c>
      <c r="G74" t="inlineStr">
        <is>
          <t>LJUSNARSBERG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17923-2024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46269</v>
      </c>
      <c r="F75" t="inlineStr">
        <is>
          <t>ÖREBRO LÄN</t>
        </is>
      </c>
      <c r="G75" t="inlineStr">
        <is>
          <t>LJUSNARSBERG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46269</v>
      </c>
      <c r="F76" t="inlineStr">
        <is>
          <t>ÖREBRO LÄN</t>
        </is>
      </c>
      <c r="G76" t="inlineStr">
        <is>
          <t>LJUSNARSBERG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33974-2023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45124</v>
      </c>
      <c r="E77" s="1" t="n">
        <v>46269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33979-2023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45124</v>
      </c>
      <c r="E78" s="1" t="n">
        <v>46269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26165-2022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44734</v>
      </c>
      <c r="E79" s="1" t="n">
        <v>46269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7499-2024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45347</v>
      </c>
      <c r="E80" s="1" t="n">
        <v>46269</v>
      </c>
      <c r="F80" t="inlineStr">
        <is>
          <t>ÖREBRO LÄN</t>
        </is>
      </c>
      <c r="G80" t="inlineStr">
        <is>
          <t>LJUSNARSBERG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30002-2025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45826</v>
      </c>
      <c r="E81" s="1" t="n">
        <v>46269</v>
      </c>
      <c r="F81" t="inlineStr">
        <is>
          <t>ÖREBRO LÄN</t>
        </is>
      </c>
      <c r="G81" t="inlineStr">
        <is>
          <t>LJUSNARSBERG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29572-2025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46269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30430-2025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46269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30428-2025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46269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33976-2023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45124</v>
      </c>
      <c r="E85" s="1" t="n">
        <v>46269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53789-2022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44880</v>
      </c>
      <c r="E86" s="1" t="n">
        <v>46269</v>
      </c>
      <c r="F86" t="inlineStr">
        <is>
          <t>ÖREBRO LÄN</t>
        </is>
      </c>
      <c r="G86" t="inlineStr">
        <is>
          <t>LJUSNARSBERG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33622-2025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46269</v>
      </c>
      <c r="F87" t="inlineStr">
        <is>
          <t>ÖREBRO LÄN</t>
        </is>
      </c>
      <c r="G87" t="inlineStr">
        <is>
          <t>LJUSNARSBERG</t>
        </is>
      </c>
      <c r="H87" t="inlineStr">
        <is>
          <t>Kyrkan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44565</v>
      </c>
      <c r="E88" s="1" t="n">
        <v>46269</v>
      </c>
      <c r="F88" t="inlineStr">
        <is>
          <t>ÖREBRO LÄN</t>
        </is>
      </c>
      <c r="G88" t="inlineStr">
        <is>
          <t>LJUSNARSBERG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59497-2024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45638</v>
      </c>
      <c r="E89" s="1" t="n">
        <v>46269</v>
      </c>
      <c r="F89" t="inlineStr">
        <is>
          <t>ÖREBRO LÄN</t>
        </is>
      </c>
      <c r="G89" t="inlineStr">
        <is>
          <t>LJUSNARSBERG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22887-2024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45448</v>
      </c>
      <c r="E90" s="1" t="n">
        <v>46269</v>
      </c>
      <c r="F90" t="inlineStr">
        <is>
          <t>ÖREBRO LÄN</t>
        </is>
      </c>
      <c r="G90" t="inlineStr">
        <is>
          <t>LJUSNARSBERG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52489-2022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44874</v>
      </c>
      <c r="E91" s="1" t="n">
        <v>46269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46269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45659</v>
      </c>
      <c r="E93" s="1" t="n">
        <v>46269</v>
      </c>
      <c r="F93" t="inlineStr">
        <is>
          <t>ÖREBRO LÄN</t>
        </is>
      </c>
      <c r="G93" t="inlineStr">
        <is>
          <t>LJUSNARSBERG</t>
        </is>
      </c>
      <c r="I93" t="n">
        <v>6.5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12482-2023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44999</v>
      </c>
      <c r="E94" s="1" t="n">
        <v>46269</v>
      </c>
      <c r="F94" t="inlineStr">
        <is>
          <t>ÖREBRO LÄN</t>
        </is>
      </c>
      <c r="G94" t="inlineStr">
        <is>
          <t>LJUSNARSBERG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37148-2023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45155</v>
      </c>
      <c r="E95" s="1" t="n">
        <v>46269</v>
      </c>
      <c r="F95" t="inlineStr">
        <is>
          <t>ÖREBRO LÄN</t>
        </is>
      </c>
      <c r="G95" t="inlineStr">
        <is>
          <t>LJUSNARSBERG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59629-2024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45638</v>
      </c>
      <c r="E96" s="1" t="n">
        <v>46269</v>
      </c>
      <c r="F96" t="inlineStr">
        <is>
          <t>ÖREBRO LÄN</t>
        </is>
      </c>
      <c r="G96" t="inlineStr">
        <is>
          <t>LJUSNARSBERG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45578</v>
      </c>
      <c r="E97" s="1" t="n">
        <v>46269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62667-2022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44917</v>
      </c>
      <c r="E98" s="1" t="n">
        <v>46269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25098-2023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45086</v>
      </c>
      <c r="E99" s="1" t="n">
        <v>46269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44760-2024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45574</v>
      </c>
      <c r="E100" s="1" t="n">
        <v>46269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11.4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14500-2024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45394</v>
      </c>
      <c r="E101" s="1" t="n">
        <v>46269</v>
      </c>
      <c r="F101" t="inlineStr">
        <is>
          <t>ÖREBRO LÄN</t>
        </is>
      </c>
      <c r="G101" t="inlineStr">
        <is>
          <t>LJUSNARSBERG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45239</v>
      </c>
      <c r="E102" s="1" t="n">
        <v>46269</v>
      </c>
      <c r="F102" t="inlineStr">
        <is>
          <t>ÖREBRO LÄN</t>
        </is>
      </c>
      <c r="G102" t="inlineStr">
        <is>
          <t>LJUSNARSBERG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33861-2022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44790</v>
      </c>
      <c r="E103" s="1" t="n">
        <v>46269</v>
      </c>
      <c r="F103" t="inlineStr">
        <is>
          <t>ÖREBRO LÄN</t>
        </is>
      </c>
      <c r="G103" t="inlineStr">
        <is>
          <t>LJUSNARSBERG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46269</v>
      </c>
      <c r="F104" t="inlineStr">
        <is>
          <t>ÖREBRO LÄN</t>
        </is>
      </c>
      <c r="G104" t="inlineStr">
        <is>
          <t>LJUSNARSBERG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19738-2026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46133</v>
      </c>
      <c r="E105" s="1" t="n">
        <v>46269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57129-2021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44482</v>
      </c>
      <c r="E106" s="1" t="n">
        <v>46269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17.8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19936-2026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46136</v>
      </c>
      <c r="E107" s="1" t="n">
        <v>46269</v>
      </c>
      <c r="F107" t="inlineStr">
        <is>
          <t>ÖREBRO LÄN</t>
        </is>
      </c>
      <c r="G107" t="inlineStr">
        <is>
          <t>LJUSNARSBERG</t>
        </is>
      </c>
      <c r="H107" t="inlineStr">
        <is>
          <t>Sveaskog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59630-2024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45638</v>
      </c>
      <c r="E108" s="1" t="n">
        <v>46269</v>
      </c>
      <c r="F108" t="inlineStr">
        <is>
          <t>ÖREBRO LÄN</t>
        </is>
      </c>
      <c r="G108" t="inlineStr">
        <is>
          <t>LJUSNARSBERG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31357-2025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45832</v>
      </c>
      <c r="E109" s="1" t="n">
        <v>46269</v>
      </c>
      <c r="F109" t="inlineStr">
        <is>
          <t>ÖREBRO LÄN</t>
        </is>
      </c>
      <c r="G109" t="inlineStr">
        <is>
          <t>LJUSNARSBERG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67746-2021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44524</v>
      </c>
      <c r="E110" s="1" t="n">
        <v>46269</v>
      </c>
      <c r="F110" t="inlineStr">
        <is>
          <t>ÖREBRO LÄN</t>
        </is>
      </c>
      <c r="G110" t="inlineStr">
        <is>
          <t>LJUSNARSBERG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19937-2026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46136</v>
      </c>
      <c r="E111" s="1" t="n">
        <v>46269</v>
      </c>
      <c r="F111" t="inlineStr">
        <is>
          <t>ÖREBRO LÄN</t>
        </is>
      </c>
      <c r="G111" t="inlineStr">
        <is>
          <t>LJUSNARSBERG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62679-2022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44917</v>
      </c>
      <c r="E112" s="1" t="n">
        <v>46269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29595-2025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46269</v>
      </c>
      <c r="F113" t="inlineStr">
        <is>
          <t>ÖREBRO LÄN</t>
        </is>
      </c>
      <c r="G113" t="inlineStr">
        <is>
          <t>LJUSNARSBERG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40477-2025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45895</v>
      </c>
      <c r="E114" s="1" t="n">
        <v>46269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11.9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40477-2025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45895</v>
      </c>
      <c r="E115" s="1" t="n">
        <v>46269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40852-2025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46269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8.699999999999999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41032-2025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46269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46082-2024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45581</v>
      </c>
      <c r="E118" s="1" t="n">
        <v>46269</v>
      </c>
      <c r="F118" t="inlineStr">
        <is>
          <t>ÖREBRO LÄN</t>
        </is>
      </c>
      <c r="G118" t="inlineStr">
        <is>
          <t>LJUSNARSBERG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44564</v>
      </c>
      <c r="E119" s="1" t="n">
        <v>46269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12489-2023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44999</v>
      </c>
      <c r="E120" s="1" t="n">
        <v>46269</v>
      </c>
      <c r="F120" t="inlineStr">
        <is>
          <t>ÖREBRO LÄN</t>
        </is>
      </c>
      <c r="G120" t="inlineStr">
        <is>
          <t>LJUSNARSBERG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15114-2024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45399</v>
      </c>
      <c r="E121" s="1" t="n">
        <v>46269</v>
      </c>
      <c r="F121" t="inlineStr">
        <is>
          <t>ÖREBRO LÄN</t>
        </is>
      </c>
      <c r="G121" t="inlineStr">
        <is>
          <t>LJUSNARSBERG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41383-2025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46269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8.199999999999999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40933-2025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45897</v>
      </c>
      <c r="E123" s="1" t="n">
        <v>46269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16.6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41017-2025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45897</v>
      </c>
      <c r="E124" s="1" t="n">
        <v>46269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41420-2025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46269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18.1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46269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27343-2025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45812</v>
      </c>
      <c r="E127" s="1" t="n">
        <v>46269</v>
      </c>
      <c r="F127" t="inlineStr">
        <is>
          <t>ÖREBRO LÄN</t>
        </is>
      </c>
      <c r="G127" t="inlineStr">
        <is>
          <t>LJUSNARSBERG</t>
        </is>
      </c>
      <c r="H127" t="inlineStr">
        <is>
          <t>Sveaskog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42287-2025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45903</v>
      </c>
      <c r="E128" s="1" t="n">
        <v>46269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10.3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46085-2024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45581</v>
      </c>
      <c r="E129" s="1" t="n">
        <v>46269</v>
      </c>
      <c r="F129" t="inlineStr">
        <is>
          <t>ÖREBRO LÄN</t>
        </is>
      </c>
      <c r="G129" t="inlineStr">
        <is>
          <t>LJUSNARSBERG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46269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16.8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46269</v>
      </c>
      <c r="F131" t="inlineStr">
        <is>
          <t>ÖREBRO LÄN</t>
        </is>
      </c>
      <c r="G131" t="inlineStr">
        <is>
          <t>LJUSNARSBERG</t>
        </is>
      </c>
      <c r="I131" t="n">
        <v>17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25671-2024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45463</v>
      </c>
      <c r="E132" s="1" t="n">
        <v>46269</v>
      </c>
      <c r="F132" t="inlineStr">
        <is>
          <t>ÖREBRO LÄN</t>
        </is>
      </c>
      <c r="G132" t="inlineStr">
        <is>
          <t>LJUSNARSBERG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36108-2024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45533</v>
      </c>
      <c r="E133" s="1" t="n">
        <v>46269</v>
      </c>
      <c r="F133" t="inlineStr">
        <is>
          <t>ÖREBRO LÄN</t>
        </is>
      </c>
      <c r="G133" t="inlineStr">
        <is>
          <t>LJUSNARSBERG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40864-2025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45897</v>
      </c>
      <c r="E134" s="1" t="n">
        <v>46269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46146-2022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44847</v>
      </c>
      <c r="E135" s="1" t="n">
        <v>46269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43638-2025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46269</v>
      </c>
      <c r="F136" t="inlineStr">
        <is>
          <t>ÖREBRO LÄN</t>
        </is>
      </c>
      <c r="G136" t="inlineStr">
        <is>
          <t>LJUSNARSBERG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45925</v>
      </c>
      <c r="E137" s="1" t="n">
        <v>46269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45901</v>
      </c>
      <c r="E138" s="1" t="n">
        <v>46269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47411-2025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46269</v>
      </c>
      <c r="F139" t="inlineStr">
        <is>
          <t>ÖREBRO LÄN</t>
        </is>
      </c>
      <c r="G139" t="inlineStr">
        <is>
          <t>LJUSNARSBERG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50524-2023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45217</v>
      </c>
      <c r="E140" s="1" t="n">
        <v>46269</v>
      </c>
      <c r="F140" t="inlineStr">
        <is>
          <t>ÖREBRO LÄN</t>
        </is>
      </c>
      <c r="G140" t="inlineStr">
        <is>
          <t>LJUSNARSBERG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7903-2022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44607</v>
      </c>
      <c r="E141" s="1" t="n">
        <v>46269</v>
      </c>
      <c r="F141" t="inlineStr">
        <is>
          <t>ÖREBRO LÄN</t>
        </is>
      </c>
      <c r="G141" t="inlineStr">
        <is>
          <t>LJUSNARSBERG</t>
        </is>
      </c>
      <c r="H141" t="inlineStr">
        <is>
          <t>Kyrkan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48501-2025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45936</v>
      </c>
      <c r="E142" s="1" t="n">
        <v>46269</v>
      </c>
      <c r="F142" t="inlineStr">
        <is>
          <t>ÖREBRO LÄN</t>
        </is>
      </c>
      <c r="G142" t="inlineStr">
        <is>
          <t>LJUSNARSBERG</t>
        </is>
      </c>
      <c r="H142" t="inlineStr">
        <is>
          <t>Sveaskog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48534-2025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45934</v>
      </c>
      <c r="E143" s="1" t="n">
        <v>46269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45934</v>
      </c>
      <c r="E144" s="1" t="n">
        <v>46269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48542-2025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45934</v>
      </c>
      <c r="E145" s="1" t="n">
        <v>46269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48204-2025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45933</v>
      </c>
      <c r="E146" s="1" t="n">
        <v>46269</v>
      </c>
      <c r="F146" t="inlineStr">
        <is>
          <t>ÖREBRO LÄN</t>
        </is>
      </c>
      <c r="G146" t="inlineStr">
        <is>
          <t>LJUSNARSBERG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48564-2025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45934</v>
      </c>
      <c r="E147" s="1" t="n">
        <v>46269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61794-2024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45649</v>
      </c>
      <c r="E148" s="1" t="n">
        <v>46269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21186-2026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46146</v>
      </c>
      <c r="E149" s="1" t="n">
        <v>46269</v>
      </c>
      <c r="F149" t="inlineStr">
        <is>
          <t>ÖREBRO LÄN</t>
        </is>
      </c>
      <c r="G149" t="inlineStr">
        <is>
          <t>LJUSNARSBERG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21202-2026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46146</v>
      </c>
      <c r="E150" s="1" t="n">
        <v>46269</v>
      </c>
      <c r="F150" t="inlineStr">
        <is>
          <t>ÖREBRO LÄN</t>
        </is>
      </c>
      <c r="G150" t="inlineStr">
        <is>
          <t>LJUSNARSBERG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62843-2021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44503</v>
      </c>
      <c r="E151" s="1" t="n">
        <v>46269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42761-2023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45177</v>
      </c>
      <c r="E152" s="1" t="n">
        <v>46269</v>
      </c>
      <c r="F152" t="inlineStr">
        <is>
          <t>ÖREBRO LÄN</t>
        </is>
      </c>
      <c r="G152" t="inlineStr">
        <is>
          <t>LJUSNARSBERG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46269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45929</v>
      </c>
      <c r="E154" s="1" t="n">
        <v>46269</v>
      </c>
      <c r="F154" t="inlineStr">
        <is>
          <t>ÖREBRO LÄN</t>
        </is>
      </c>
      <c r="G154" t="inlineStr">
        <is>
          <t>LJUSNARSBERG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50865-2025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45946</v>
      </c>
      <c r="E155" s="1" t="n">
        <v>46269</v>
      </c>
      <c r="F155" t="inlineStr">
        <is>
          <t>ÖREBRO LÄN</t>
        </is>
      </c>
      <c r="G155" t="inlineStr">
        <is>
          <t>LJUSNARSBERG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22366-2026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46154</v>
      </c>
      <c r="E156" s="1" t="n">
        <v>46269</v>
      </c>
      <c r="F156" t="inlineStr">
        <is>
          <t>ÖREBRO LÄN</t>
        </is>
      </c>
      <c r="G156" t="inlineStr">
        <is>
          <t>LJUSNARSBERG</t>
        </is>
      </c>
      <c r="I156" t="n">
        <v>14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32880-2025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45839</v>
      </c>
      <c r="E157" s="1" t="n">
        <v>46269</v>
      </c>
      <c r="F157" t="inlineStr">
        <is>
          <t>ÖREBRO LÄN</t>
        </is>
      </c>
      <c r="G157" t="inlineStr">
        <is>
          <t>LJUSNARSBERG</t>
        </is>
      </c>
      <c r="H157" t="inlineStr">
        <is>
          <t>Kommuner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53595-2024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45614</v>
      </c>
      <c r="E158" s="1" t="n">
        <v>46269</v>
      </c>
      <c r="F158" t="inlineStr">
        <is>
          <t>ÖREBRO LÄN</t>
        </is>
      </c>
      <c r="G158" t="inlineStr">
        <is>
          <t>LJUSNARSBERG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46269</v>
      </c>
      <c r="F159" t="inlineStr">
        <is>
          <t>ÖREBRO LÄN</t>
        </is>
      </c>
      <c r="G159" t="inlineStr">
        <is>
          <t>LJUSNARSBERG</t>
        </is>
      </c>
      <c r="I159" t="n">
        <v>10.8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61580-2023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45265</v>
      </c>
      <c r="E160" s="1" t="n">
        <v>46269</v>
      </c>
      <c r="F160" t="inlineStr">
        <is>
          <t>ÖREBRO LÄN</t>
        </is>
      </c>
      <c r="G160" t="inlineStr">
        <is>
          <t>LJUSNARSBERG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46163</v>
      </c>
      <c r="E161" s="1" t="n">
        <v>46269</v>
      </c>
      <c r="F161" t="inlineStr">
        <is>
          <t>ÖREBRO LÄN</t>
        </is>
      </c>
      <c r="G161" t="inlineStr">
        <is>
          <t>LJUSNARSBERG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24363-2026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46167</v>
      </c>
      <c r="E162" s="1" t="n">
        <v>46269</v>
      </c>
      <c r="F162" t="inlineStr">
        <is>
          <t>ÖREBRO LÄN</t>
        </is>
      </c>
      <c r="G162" t="inlineStr">
        <is>
          <t>LJUSNARSBERG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46167</v>
      </c>
      <c r="E163" s="1" t="n">
        <v>46269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24350-2026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46167</v>
      </c>
      <c r="E164" s="1" t="n">
        <v>46269</v>
      </c>
      <c r="F164" t="inlineStr">
        <is>
          <t>ÖREBRO LÄN</t>
        </is>
      </c>
      <c r="G164" t="inlineStr">
        <is>
          <t>LJUSNARSBERG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24319-2026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46167</v>
      </c>
      <c r="E165" s="1" t="n">
        <v>46269</v>
      </c>
      <c r="F165" t="inlineStr">
        <is>
          <t>ÖREBRO LÄN</t>
        </is>
      </c>
      <c r="G165" t="inlineStr">
        <is>
          <t>LJUSNARSBERG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45980</v>
      </c>
      <c r="E166" s="1" t="n">
        <v>46269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8.5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45980</v>
      </c>
      <c r="E167" s="1" t="n">
        <v>46269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57090-2022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46269</v>
      </c>
      <c r="F168" t="inlineStr">
        <is>
          <t>ÖREBRO LÄN</t>
        </is>
      </c>
      <c r="G168" t="inlineStr">
        <is>
          <t>LJUSNARSBERG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61579-2025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46269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26379-2026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46183</v>
      </c>
      <c r="E170" s="1" t="n">
        <v>46269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26847-2026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46269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46013</v>
      </c>
      <c r="E172" s="1" t="n">
        <v>46269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46037</v>
      </c>
      <c r="E173" s="1" t="n">
        <v>46269</v>
      </c>
      <c r="F173" t="inlineStr">
        <is>
          <t>ÖREBRO LÄN</t>
        </is>
      </c>
      <c r="G173" t="inlineStr">
        <is>
          <t>LJUSNARSBERG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45035</v>
      </c>
      <c r="E174" s="1" t="n">
        <v>46269</v>
      </c>
      <c r="F174" t="inlineStr">
        <is>
          <t>ÖREBRO LÄN</t>
        </is>
      </c>
      <c r="G174" t="inlineStr">
        <is>
          <t>LJUSNARSBERG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46049</v>
      </c>
      <c r="E175" s="1" t="n">
        <v>46269</v>
      </c>
      <c r="F175" t="inlineStr">
        <is>
          <t>ÖREBRO LÄN</t>
        </is>
      </c>
      <c r="G175" t="inlineStr">
        <is>
          <t>LJUSNARSBERG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46246</v>
      </c>
      <c r="E176" s="1" t="n">
        <v>46269</v>
      </c>
      <c r="F176" t="inlineStr">
        <is>
          <t>ÖREBRO LÄN</t>
        </is>
      </c>
      <c r="G176" t="inlineStr">
        <is>
          <t>LJUSNARSBERG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33488-2026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46247</v>
      </c>
      <c r="E177" s="1" t="n">
        <v>46269</v>
      </c>
      <c r="F177" t="inlineStr">
        <is>
          <t>ÖREBRO LÄN</t>
        </is>
      </c>
      <c r="G177" t="inlineStr">
        <is>
          <t>LJUSNARSBERG</t>
        </is>
      </c>
      <c r="H177" t="inlineStr">
        <is>
          <t>Kyrkan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45145</v>
      </c>
      <c r="E178" s="1" t="n">
        <v>46269</v>
      </c>
      <c r="F178" t="inlineStr">
        <is>
          <t>ÖREBRO LÄN</t>
        </is>
      </c>
      <c r="G178" t="inlineStr">
        <is>
          <t>LJUSNARSBERG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44916</v>
      </c>
      <c r="E179" s="1" t="n">
        <v>46269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16613-2023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45030</v>
      </c>
      <c r="E180" s="1" t="n">
        <v>46269</v>
      </c>
      <c r="F180" t="inlineStr">
        <is>
          <t>ÖREBRO LÄN</t>
        </is>
      </c>
      <c r="G180" t="inlineStr">
        <is>
          <t>LJUSNARSBERG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33753-2026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46251</v>
      </c>
      <c r="E181" s="1" t="n">
        <v>46269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45539-2024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45578</v>
      </c>
      <c r="E182" s="1" t="n">
        <v>46269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48582-2025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45936</v>
      </c>
      <c r="E183" s="1" t="n">
        <v>46269</v>
      </c>
      <c r="F183" t="inlineStr">
        <is>
          <t>ÖREBRO LÄN</t>
        </is>
      </c>
      <c r="G183" t="inlineStr">
        <is>
          <t>LJUSNARSBERG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29436-2023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45106</v>
      </c>
      <c r="E184" s="1" t="n">
        <v>46269</v>
      </c>
      <c r="F184" t="inlineStr">
        <is>
          <t>ÖREBRO LÄN</t>
        </is>
      </c>
      <c r="G184" t="inlineStr">
        <is>
          <t>LJUSNARSBERG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31167-2023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45103</v>
      </c>
      <c r="E185" s="1" t="n">
        <v>46269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18932-2022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44690</v>
      </c>
      <c r="E186" s="1" t="n">
        <v>46269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59495-2024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45638</v>
      </c>
      <c r="E187" s="1" t="n">
        <v>46269</v>
      </c>
      <c r="F187" t="inlineStr">
        <is>
          <t>ÖREBRO LÄN</t>
        </is>
      </c>
      <c r="G187" t="inlineStr">
        <is>
          <t>LJUSNARSBERG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62810-2021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46269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46269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10.4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S 3541-2022</t>
        </is>
      </c>
      <c r="B190" t="inlineStr">
        <is>
          <t>samrådsanmälan</t>
        </is>
      </c>
      <c r="C190" t="inlineStr">
        <is>
          <t>Skogsbilväg</t>
        </is>
      </c>
      <c r="D190" s="1" t="n">
        <v>44734</v>
      </c>
      <c r="E190" s="1" t="n">
        <v>46269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10473-2021</t>
        </is>
      </c>
      <c r="B191" t="inlineStr">
        <is>
          <t>samrådsanmälan</t>
        </is>
      </c>
      <c r="C191" t="inlineStr">
        <is>
          <t>Skogsbilväg</t>
        </is>
      </c>
      <c r="D191" s="1" t="n">
        <v>44559</v>
      </c>
      <c r="E191" s="1" t="n">
        <v>46269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410-2022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44585</v>
      </c>
      <c r="E192" s="1" t="n">
        <v>46269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36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1099-2022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44615</v>
      </c>
      <c r="E193" s="1" t="n">
        <v>46269</v>
      </c>
      <c r="F193" t="inlineStr">
        <is>
          <t>ÖREBRO LÄN</t>
        </is>
      </c>
      <c r="G193" t="inlineStr">
        <is>
          <t>LJUSNARSBERG</t>
        </is>
      </c>
      <c r="H193" t="inlineStr">
        <is>
          <t>Sveaskog</t>
        </is>
      </c>
      <c r="I193" t="n">
        <v>147.4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880-2024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45376</v>
      </c>
      <c r="E194" s="1" t="n">
        <v>46269</v>
      </c>
      <c r="F194" t="inlineStr">
        <is>
          <t>ÖREBRO LÄN</t>
        </is>
      </c>
      <c r="G194" t="inlineStr">
        <is>
          <t>LJUSNARSBERG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3528-2023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45205</v>
      </c>
      <c r="E195" s="1" t="n">
        <v>46269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39.4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7278-2021</t>
        </is>
      </c>
      <c r="B196" t="inlineStr">
        <is>
          <t>samrådsanmälan</t>
        </is>
      </c>
      <c r="C196" t="inlineStr">
        <is>
          <t>Åtgärd i nyckelbiotop</t>
        </is>
      </c>
      <c r="D196" s="1" t="n">
        <v>44467</v>
      </c>
      <c r="E196" s="1" t="n">
        <v>46269</v>
      </c>
      <c r="F196" t="inlineStr">
        <is>
          <t>ÖREBRO LÄN</t>
        </is>
      </c>
      <c r="G196" t="inlineStr">
        <is>
          <t>LJUSNARSBERG</t>
        </is>
      </c>
      <c r="H196" t="inlineStr">
        <is>
          <t>Kommuner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4521-2023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45275</v>
      </c>
      <c r="E197" s="1" t="n">
        <v>46269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20.7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7277-2021</t>
        </is>
      </c>
      <c r="B198" t="inlineStr">
        <is>
          <t>samrådsanmälan</t>
        </is>
      </c>
      <c r="C198" t="inlineStr">
        <is>
          <t>Åtgärd i nyckelbiotop</t>
        </is>
      </c>
      <c r="D198" s="1" t="n">
        <v>44467</v>
      </c>
      <c r="E198" s="1" t="n">
        <v>46269</v>
      </c>
      <c r="F198" t="inlineStr">
        <is>
          <t>ÖREBRO LÄN</t>
        </is>
      </c>
      <c r="G198" t="inlineStr">
        <is>
          <t>LJUSNARSBERG</t>
        </is>
      </c>
      <c r="H198" t="inlineStr">
        <is>
          <t>Kommuner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2836-2023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45167</v>
      </c>
      <c r="E199" s="1" t="n">
        <v>46269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25.2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707-2025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45720</v>
      </c>
      <c r="E200" s="1" t="n">
        <v>46269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162.6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1972-2025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45832</v>
      </c>
      <c r="E201" s="1" t="n">
        <v>46269</v>
      </c>
      <c r="F201" t="inlineStr">
        <is>
          <t>ÖREBRO LÄN</t>
        </is>
      </c>
      <c r="G201" t="inlineStr">
        <is>
          <t>LJUSNARSBERG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3578-2025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46010</v>
      </c>
      <c r="E202" s="1" t="n">
        <v>46269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603-2026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46085</v>
      </c>
      <c r="E203" s="1" t="n">
        <v>46269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125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1743-2026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46185</v>
      </c>
      <c r="E204" s="1" t="n">
        <v>46269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>
      <c r="A205" t="inlineStr">
        <is>
          <t>S 1624-2026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46174</v>
      </c>
      <c r="E205" s="1" t="n">
        <v>46269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2026-09-04T02:08:07Z</dcterms:created>
  <dcterms:modified xmlns:dcterms="http://purl.org/dc/terms/" xmlns:xsi="http://www.w3.org/2001/XMLSchema-instance" xsi:type="dcterms:W3CDTF">2026-09-04T02:08:07Z</dcterms:modified>
</cp:coreProperties>
</file>