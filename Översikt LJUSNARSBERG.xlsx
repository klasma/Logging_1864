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9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45716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11</v>
      </c>
      <c r="R2" s="2" t="inlineStr">
        <is>
          <t>Gul taggsvamp
Kortskaftad ärgspik
Spillkråka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48004-2019</t>
        </is>
      </c>
      <c r="B3" s="1" t="n">
        <v>43725</v>
      </c>
      <c r="C3" s="1" t="n">
        <v>45716</v>
      </c>
      <c r="D3" t="inlineStr">
        <is>
          <t>ÖREBRO LÄN</t>
        </is>
      </c>
      <c r="E3" t="inlineStr">
        <is>
          <t>LJUSNARSBERG</t>
        </is>
      </c>
      <c r="G3" t="n">
        <v>25.2</v>
      </c>
      <c r="H3" t="n">
        <v>2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Garnlav
Ullticka
Vedskivlav
Flagellkvastmossa
Mindre märgborre
Nästlav
Skarp dropptaggsvamp
Vanlig padda
Fläcknycklar</t>
        </is>
      </c>
      <c r="S3">
        <f>HYPERLINK("https://klasma.github.io/Logging_1864/artfynd/A 48004-2019 artfynd.xlsx", "A 48004-2019")</f>
        <v/>
      </c>
      <c r="T3">
        <f>HYPERLINK("https://klasma.github.io/Logging_1864/kartor/A 48004-2019 karta.png", "A 48004-2019")</f>
        <v/>
      </c>
      <c r="V3">
        <f>HYPERLINK("https://klasma.github.io/Logging_1864/klagomål/A 48004-2019 FSC-klagomål.docx", "A 48004-2019")</f>
        <v/>
      </c>
      <c r="W3">
        <f>HYPERLINK("https://klasma.github.io/Logging_1864/klagomålsmail/A 48004-2019 FSC-klagomål mail.docx", "A 48004-2019")</f>
        <v/>
      </c>
      <c r="X3">
        <f>HYPERLINK("https://klasma.github.io/Logging_1864/tillsyn/A 48004-2019 tillsynsbegäran.docx", "A 48004-2019")</f>
        <v/>
      </c>
      <c r="Y3">
        <f>HYPERLINK("https://klasma.github.io/Logging_1864/tillsynsmail/A 48004-2019 tillsynsbegäran mail.docx", "A 48004-2019")</f>
        <v/>
      </c>
    </row>
    <row r="4" ht="15" customHeight="1">
      <c r="A4" t="inlineStr">
        <is>
          <t>A 65215-2021</t>
        </is>
      </c>
      <c r="B4" s="1" t="n">
        <v>44515</v>
      </c>
      <c r="C4" s="1" t="n">
        <v>45716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2.2</v>
      </c>
      <c r="H4" t="n">
        <v>1</v>
      </c>
      <c r="I4" t="n">
        <v>3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7</v>
      </c>
      <c r="R4" s="2" t="inlineStr">
        <is>
          <t>Brunpudrad nållav
Garnlav
Tretåig hackspett
Vedtrappmossa
Flagellkvastmossa
Gulnål
Mindre märgborre</t>
        </is>
      </c>
      <c r="S4">
        <f>HYPERLINK("https://klasma.github.io/Logging_1864/artfynd/A 65215-2021 artfynd.xlsx", "A 65215-2021")</f>
        <v/>
      </c>
      <c r="T4">
        <f>HYPERLINK("https://klasma.github.io/Logging_1864/kartor/A 65215-2021 karta.png", "A 65215-2021")</f>
        <v/>
      </c>
      <c r="V4">
        <f>HYPERLINK("https://klasma.github.io/Logging_1864/klagomål/A 65215-2021 FSC-klagomål.docx", "A 65215-2021")</f>
        <v/>
      </c>
      <c r="W4">
        <f>HYPERLINK("https://klasma.github.io/Logging_1864/klagomålsmail/A 65215-2021 FSC-klagomål mail.docx", "A 65215-2021")</f>
        <v/>
      </c>
      <c r="X4">
        <f>HYPERLINK("https://klasma.github.io/Logging_1864/tillsyn/A 65215-2021 tillsynsbegäran.docx", "A 65215-2021")</f>
        <v/>
      </c>
      <c r="Y4">
        <f>HYPERLINK("https://klasma.github.io/Logging_1864/tillsynsmail/A 65215-2021 tillsynsbegäran mail.docx", "A 65215-2021")</f>
        <v/>
      </c>
      <c r="Z4">
        <f>HYPERLINK("https://klasma.github.io/Logging_1864/fåglar/A 65215-2021 prioriterade fågelarter.docx", "A 65215-2021")</f>
        <v/>
      </c>
    </row>
    <row r="5" ht="15" customHeight="1">
      <c r="A5" t="inlineStr">
        <is>
          <t>A 23092-2020</t>
        </is>
      </c>
      <c r="B5" s="1" t="n">
        <v>43964</v>
      </c>
      <c r="C5" s="1" t="n">
        <v>45716</v>
      </c>
      <c r="D5" t="inlineStr">
        <is>
          <t>ÖREBRO LÄN</t>
        </is>
      </c>
      <c r="E5" t="inlineStr">
        <is>
          <t>LJUSNARSBERG</t>
        </is>
      </c>
      <c r="G5" t="n">
        <v>4.4</v>
      </c>
      <c r="H5" t="n">
        <v>0</v>
      </c>
      <c r="I5" t="n">
        <v>1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5</v>
      </c>
      <c r="R5" s="2" t="inlineStr">
        <is>
          <t>Garnlav
Grentaggsvamp
Tallticka
Vedtrappmossa
Rävticka</t>
        </is>
      </c>
      <c r="S5">
        <f>HYPERLINK("https://klasma.github.io/Logging_1864/artfynd/A 23092-2020 artfynd.xlsx", "A 23092-2020")</f>
        <v/>
      </c>
      <c r="T5">
        <f>HYPERLINK("https://klasma.github.io/Logging_1864/kartor/A 23092-2020 karta.png", "A 23092-2020")</f>
        <v/>
      </c>
      <c r="U5">
        <f>HYPERLINK("https://klasma.github.io/Logging_1864/knärot/A 23092-2020 karta knärot.png", "A 23092-2020")</f>
        <v/>
      </c>
      <c r="V5">
        <f>HYPERLINK("https://klasma.github.io/Logging_1864/klagomål/A 23092-2020 FSC-klagomål.docx", "A 23092-2020")</f>
        <v/>
      </c>
      <c r="W5">
        <f>HYPERLINK("https://klasma.github.io/Logging_1864/klagomålsmail/A 23092-2020 FSC-klagomål mail.docx", "A 23092-2020")</f>
        <v/>
      </c>
      <c r="X5">
        <f>HYPERLINK("https://klasma.github.io/Logging_1864/tillsyn/A 23092-2020 tillsynsbegäran.docx", "A 23092-2020")</f>
        <v/>
      </c>
      <c r="Y5">
        <f>HYPERLINK("https://klasma.github.io/Logging_1864/tillsynsmail/A 23092-2020 tillsynsbegäran mail.docx", "A 23092-2020")</f>
        <v/>
      </c>
    </row>
    <row r="6" ht="15" customHeight="1">
      <c r="A6" t="inlineStr">
        <is>
          <t>A 29115-2019</t>
        </is>
      </c>
      <c r="B6" s="1" t="n">
        <v>43628</v>
      </c>
      <c r="C6" s="1" t="n">
        <v>45716</v>
      </c>
      <c r="D6" t="inlineStr">
        <is>
          <t>ÖREBRO LÄN</t>
        </is>
      </c>
      <c r="E6" t="inlineStr">
        <is>
          <t>LJUSNARSBERG</t>
        </is>
      </c>
      <c r="G6" t="n">
        <v>2.5</v>
      </c>
      <c r="H6" t="n">
        <v>0</v>
      </c>
      <c r="I6" t="n">
        <v>3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4</v>
      </c>
      <c r="R6" s="2" t="inlineStr">
        <is>
          <t>Vedtrappmossa
Bollvitmossa
Rödgul trumpetsvamp
Stubbspretmossa</t>
        </is>
      </c>
      <c r="S6">
        <f>HYPERLINK("https://klasma.github.io/Logging_1864/artfynd/A 29115-2019 artfynd.xlsx", "A 29115-2019")</f>
        <v/>
      </c>
      <c r="T6">
        <f>HYPERLINK("https://klasma.github.io/Logging_1864/kartor/A 29115-2019 karta.png", "A 29115-2019")</f>
        <v/>
      </c>
      <c r="V6">
        <f>HYPERLINK("https://klasma.github.io/Logging_1864/klagomål/A 29115-2019 FSC-klagomål.docx", "A 29115-2019")</f>
        <v/>
      </c>
      <c r="W6">
        <f>HYPERLINK("https://klasma.github.io/Logging_1864/klagomålsmail/A 29115-2019 FSC-klagomål mail.docx", "A 29115-2019")</f>
        <v/>
      </c>
      <c r="X6">
        <f>HYPERLINK("https://klasma.github.io/Logging_1864/tillsyn/A 29115-2019 tillsynsbegäran.docx", "A 29115-2019")</f>
        <v/>
      </c>
      <c r="Y6">
        <f>HYPERLINK("https://klasma.github.io/Logging_1864/tillsynsmail/A 29115-2019 tillsynsbegäran mail.docx", "A 29115-2019")</f>
        <v/>
      </c>
    </row>
    <row r="7" ht="15" customHeight="1">
      <c r="A7" t="inlineStr">
        <is>
          <t>A 65217-2021</t>
        </is>
      </c>
      <c r="B7" s="1" t="n">
        <v>44515</v>
      </c>
      <c r="C7" s="1" t="n">
        <v>45716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1.3</v>
      </c>
      <c r="H7" t="n">
        <v>1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4</v>
      </c>
      <c r="R7" s="2" t="inlineStr">
        <is>
          <t>Motaggsvamp
Tretåig hackspett
Vedtrappmossa
Bollvitmossa</t>
        </is>
      </c>
      <c r="S7">
        <f>HYPERLINK("https://klasma.github.io/Logging_1864/artfynd/A 65217-2021 artfynd.xlsx", "A 65217-2021")</f>
        <v/>
      </c>
      <c r="T7">
        <f>HYPERLINK("https://klasma.github.io/Logging_1864/kartor/A 65217-2021 karta.png", "A 65217-2021")</f>
        <v/>
      </c>
      <c r="V7">
        <f>HYPERLINK("https://klasma.github.io/Logging_1864/klagomål/A 65217-2021 FSC-klagomål.docx", "A 65217-2021")</f>
        <v/>
      </c>
      <c r="W7">
        <f>HYPERLINK("https://klasma.github.io/Logging_1864/klagomålsmail/A 65217-2021 FSC-klagomål mail.docx", "A 65217-2021")</f>
        <v/>
      </c>
      <c r="X7">
        <f>HYPERLINK("https://klasma.github.io/Logging_1864/tillsyn/A 65217-2021 tillsynsbegäran.docx", "A 65217-2021")</f>
        <v/>
      </c>
      <c r="Y7">
        <f>HYPERLINK("https://klasma.github.io/Logging_1864/tillsynsmail/A 65217-2021 tillsynsbegäran mail.docx", "A 65217-2021")</f>
        <v/>
      </c>
      <c r="Z7">
        <f>HYPERLINK("https://klasma.github.io/Logging_1864/fåglar/A 65217-2021 prioriterade fågelarter.docx", "A 65217-2021")</f>
        <v/>
      </c>
    </row>
    <row r="8" ht="15" customHeight="1">
      <c r="A8" t="inlineStr">
        <is>
          <t>A 41623-2024</t>
        </is>
      </c>
      <c r="B8" s="1" t="n">
        <v>45560</v>
      </c>
      <c r="C8" s="1" t="n">
        <v>45716</v>
      </c>
      <c r="D8" t="inlineStr">
        <is>
          <t>ÖREBRO LÄN</t>
        </is>
      </c>
      <c r="E8" t="inlineStr">
        <is>
          <t>LJUSNARSBERG</t>
        </is>
      </c>
      <c r="G8" t="n">
        <v>0.5</v>
      </c>
      <c r="H8" t="n">
        <v>0</v>
      </c>
      <c r="I8" t="n">
        <v>0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4</v>
      </c>
      <c r="R8" s="2" t="inlineStr">
        <is>
          <t>Skuggmalmätare
Brunflammig fältmätare
Glimmalmätare
Ligusterfly</t>
        </is>
      </c>
      <c r="S8">
        <f>HYPERLINK("https://klasma.github.io/Logging_1864/artfynd/A 41623-2024 artfynd.xlsx", "A 41623-2024")</f>
        <v/>
      </c>
      <c r="T8">
        <f>HYPERLINK("https://klasma.github.io/Logging_1864/kartor/A 41623-2024 karta.png", "A 41623-2024")</f>
        <v/>
      </c>
      <c r="V8">
        <f>HYPERLINK("https://klasma.github.io/Logging_1864/klagomål/A 41623-2024 FSC-klagomål.docx", "A 41623-2024")</f>
        <v/>
      </c>
      <c r="W8">
        <f>HYPERLINK("https://klasma.github.io/Logging_1864/klagomålsmail/A 41623-2024 FSC-klagomål mail.docx", "A 41623-2024")</f>
        <v/>
      </c>
      <c r="X8">
        <f>HYPERLINK("https://klasma.github.io/Logging_1864/tillsyn/A 41623-2024 tillsynsbegäran.docx", "A 41623-2024")</f>
        <v/>
      </c>
      <c r="Y8">
        <f>HYPERLINK("https://klasma.github.io/Logging_1864/tillsynsmail/A 41623-2024 tillsynsbegäran mail.docx", "A 41623-2024")</f>
        <v/>
      </c>
    </row>
    <row r="9" ht="15" customHeight="1">
      <c r="A9" t="inlineStr">
        <is>
          <t>A 58690-2024</t>
        </is>
      </c>
      <c r="B9" s="1" t="n">
        <v>45635</v>
      </c>
      <c r="C9" s="1" t="n">
        <v>45716</v>
      </c>
      <c r="D9" t="inlineStr">
        <is>
          <t>ÖREBRO LÄN</t>
        </is>
      </c>
      <c r="E9" t="inlineStr">
        <is>
          <t>LJUSNARSBERG</t>
        </is>
      </c>
      <c r="F9" t="inlineStr">
        <is>
          <t>Bergvik skog väst AB</t>
        </is>
      </c>
      <c r="G9" t="n">
        <v>3.4</v>
      </c>
      <c r="H9" t="n">
        <v>3</v>
      </c>
      <c r="I9" t="n">
        <v>2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4</v>
      </c>
      <c r="R9" s="2" t="inlineStr">
        <is>
          <t>Fältgentiana
Purpurknipprot
Tvåblad
Fläcknycklar</t>
        </is>
      </c>
      <c r="S9">
        <f>HYPERLINK("https://klasma.github.io/Logging_1864/artfynd/A 58690-2024 artfynd.xlsx", "A 58690-2024")</f>
        <v/>
      </c>
      <c r="T9">
        <f>HYPERLINK("https://klasma.github.io/Logging_1864/kartor/A 58690-2024 karta.png", "A 58690-2024")</f>
        <v/>
      </c>
      <c r="V9">
        <f>HYPERLINK("https://klasma.github.io/Logging_1864/klagomål/A 58690-2024 FSC-klagomål.docx", "A 58690-2024")</f>
        <v/>
      </c>
      <c r="W9">
        <f>HYPERLINK("https://klasma.github.io/Logging_1864/klagomålsmail/A 58690-2024 FSC-klagomål mail.docx", "A 58690-2024")</f>
        <v/>
      </c>
      <c r="X9">
        <f>HYPERLINK("https://klasma.github.io/Logging_1864/tillsyn/A 58690-2024 tillsynsbegäran.docx", "A 58690-2024")</f>
        <v/>
      </c>
      <c r="Y9">
        <f>HYPERLINK("https://klasma.github.io/Logging_1864/tillsynsmail/A 58690-2024 tillsynsbegäran mail.docx", "A 58690-2024")</f>
        <v/>
      </c>
    </row>
    <row r="10" ht="15" customHeight="1">
      <c r="A10" t="inlineStr">
        <is>
          <t>A 38627-2019</t>
        </is>
      </c>
      <c r="B10" s="1" t="n">
        <v>43686</v>
      </c>
      <c r="C10" s="1" t="n">
        <v>45716</v>
      </c>
      <c r="D10" t="inlineStr">
        <is>
          <t>ÖREBRO LÄN</t>
        </is>
      </c>
      <c r="E10" t="inlineStr">
        <is>
          <t>LJUSNARSBERG</t>
        </is>
      </c>
      <c r="G10" t="n">
        <v>3.5</v>
      </c>
      <c r="H10" t="n">
        <v>0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s="2" t="inlineStr">
        <is>
          <t>Bronshjon
Svavelriska
Thomsons trägnagare</t>
        </is>
      </c>
      <c r="S10">
        <f>HYPERLINK("https://klasma.github.io/Logging_1864/artfynd/A 38627-2019 artfynd.xlsx", "A 38627-2019")</f>
        <v/>
      </c>
      <c r="T10">
        <f>HYPERLINK("https://klasma.github.io/Logging_1864/kartor/A 38627-2019 karta.png", "A 38627-2019")</f>
        <v/>
      </c>
      <c r="V10">
        <f>HYPERLINK("https://klasma.github.io/Logging_1864/klagomål/A 38627-2019 FSC-klagomål.docx", "A 38627-2019")</f>
        <v/>
      </c>
      <c r="W10">
        <f>HYPERLINK("https://klasma.github.io/Logging_1864/klagomålsmail/A 38627-2019 FSC-klagomål mail.docx", "A 38627-2019")</f>
        <v/>
      </c>
      <c r="X10">
        <f>HYPERLINK("https://klasma.github.io/Logging_1864/tillsyn/A 38627-2019 tillsynsbegäran.docx", "A 38627-2019")</f>
        <v/>
      </c>
      <c r="Y10">
        <f>HYPERLINK("https://klasma.github.io/Logging_1864/tillsynsmail/A 38627-2019 tillsynsbegäran mail.docx", "A 38627-2019")</f>
        <v/>
      </c>
    </row>
    <row r="11" ht="15" customHeight="1">
      <c r="A11" t="inlineStr">
        <is>
          <t>A 43996-2021</t>
        </is>
      </c>
      <c r="B11" s="1" t="n">
        <v>44434</v>
      </c>
      <c r="C11" s="1" t="n">
        <v>45716</v>
      </c>
      <c r="D11" t="inlineStr">
        <is>
          <t>ÖREBRO LÄN</t>
        </is>
      </c>
      <c r="E11" t="inlineStr">
        <is>
          <t>LJUSNARSBERG</t>
        </is>
      </c>
      <c r="F11" t="inlineStr">
        <is>
          <t>Bergvik skog väst AB</t>
        </is>
      </c>
      <c r="G11" t="n">
        <v>8.4</v>
      </c>
      <c r="H11" t="n">
        <v>3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Tvåblad
Fläcknycklar
Nattviol</t>
        </is>
      </c>
      <c r="S11">
        <f>HYPERLINK("https://klasma.github.io/Logging_1864/artfynd/A 43996-2021 artfynd.xlsx", "A 43996-2021")</f>
        <v/>
      </c>
      <c r="T11">
        <f>HYPERLINK("https://klasma.github.io/Logging_1864/kartor/A 43996-2021 karta.png", "A 43996-2021")</f>
        <v/>
      </c>
      <c r="V11">
        <f>HYPERLINK("https://klasma.github.io/Logging_1864/klagomål/A 43996-2021 FSC-klagomål.docx", "A 43996-2021")</f>
        <v/>
      </c>
      <c r="W11">
        <f>HYPERLINK("https://klasma.github.io/Logging_1864/klagomålsmail/A 43996-2021 FSC-klagomål mail.docx", "A 43996-2021")</f>
        <v/>
      </c>
      <c r="X11">
        <f>HYPERLINK("https://klasma.github.io/Logging_1864/tillsyn/A 43996-2021 tillsynsbegäran.docx", "A 43996-2021")</f>
        <v/>
      </c>
      <c r="Y11">
        <f>HYPERLINK("https://klasma.github.io/Logging_1864/tillsynsmail/A 43996-2021 tillsynsbegäran mail.docx", "A 43996-2021")</f>
        <v/>
      </c>
    </row>
    <row r="12" ht="15" customHeight="1">
      <c r="A12" t="inlineStr">
        <is>
          <t>A 65216-2021</t>
        </is>
      </c>
      <c r="B12" s="1" t="n">
        <v>44515</v>
      </c>
      <c r="C12" s="1" t="n">
        <v>45716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1.9</v>
      </c>
      <c r="H12" t="n">
        <v>0</v>
      </c>
      <c r="I12" t="n">
        <v>1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3</v>
      </c>
      <c r="R12" s="2" t="inlineStr">
        <is>
          <t>Brunpudrad nållav
Garnlav
Mindre märgborre</t>
        </is>
      </c>
      <c r="S12">
        <f>HYPERLINK("https://klasma.github.io/Logging_1864/artfynd/A 65216-2021 artfynd.xlsx", "A 65216-2021")</f>
        <v/>
      </c>
      <c r="T12">
        <f>HYPERLINK("https://klasma.github.io/Logging_1864/kartor/A 65216-2021 karta.png", "A 65216-2021")</f>
        <v/>
      </c>
      <c r="V12">
        <f>HYPERLINK("https://klasma.github.io/Logging_1864/klagomål/A 65216-2021 FSC-klagomål.docx", "A 65216-2021")</f>
        <v/>
      </c>
      <c r="W12">
        <f>HYPERLINK("https://klasma.github.io/Logging_1864/klagomålsmail/A 65216-2021 FSC-klagomål mail.docx", "A 65216-2021")</f>
        <v/>
      </c>
      <c r="X12">
        <f>HYPERLINK("https://klasma.github.io/Logging_1864/tillsyn/A 65216-2021 tillsynsbegäran.docx", "A 65216-2021")</f>
        <v/>
      </c>
      <c r="Y12">
        <f>HYPERLINK("https://klasma.github.io/Logging_1864/tillsynsmail/A 65216-2021 tillsynsbegäran mail.docx", "A 65216-2021")</f>
        <v/>
      </c>
    </row>
    <row r="13" ht="15" customHeight="1">
      <c r="A13" t="inlineStr">
        <is>
          <t>A 45845-2024</t>
        </is>
      </c>
      <c r="B13" s="1" t="n">
        <v>45580</v>
      </c>
      <c r="C13" s="1" t="n">
        <v>45716</v>
      </c>
      <c r="D13" t="inlineStr">
        <is>
          <t>ÖREBRO LÄN</t>
        </is>
      </c>
      <c r="E13" t="inlineStr">
        <is>
          <t>LJUSNARSBERG</t>
        </is>
      </c>
      <c r="G13" t="n">
        <v>19.1</v>
      </c>
      <c r="H13" t="n">
        <v>0</v>
      </c>
      <c r="I13" t="n">
        <v>2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3</v>
      </c>
      <c r="R13" s="2" t="inlineStr">
        <is>
          <t>Garnlav
Bollvitmossa
Rödgul trumpetsvamp</t>
        </is>
      </c>
      <c r="S13">
        <f>HYPERLINK("https://klasma.github.io/Logging_1864/artfynd/A 45845-2024 artfynd.xlsx", "A 45845-2024")</f>
        <v/>
      </c>
      <c r="T13">
        <f>HYPERLINK("https://klasma.github.io/Logging_1864/kartor/A 45845-2024 karta.png", "A 45845-2024")</f>
        <v/>
      </c>
      <c r="V13">
        <f>HYPERLINK("https://klasma.github.io/Logging_1864/klagomål/A 45845-2024 FSC-klagomål.docx", "A 45845-2024")</f>
        <v/>
      </c>
      <c r="W13">
        <f>HYPERLINK("https://klasma.github.io/Logging_1864/klagomålsmail/A 45845-2024 FSC-klagomål mail.docx", "A 45845-2024")</f>
        <v/>
      </c>
      <c r="X13">
        <f>HYPERLINK("https://klasma.github.io/Logging_1864/tillsyn/A 45845-2024 tillsynsbegäran.docx", "A 45845-2024")</f>
        <v/>
      </c>
      <c r="Y13">
        <f>HYPERLINK("https://klasma.github.io/Logging_1864/tillsynsmail/A 45845-2024 tillsynsbegäran mail.docx", "A 45845-2024")</f>
        <v/>
      </c>
    </row>
    <row r="14" ht="15" customHeight="1">
      <c r="A14" t="inlineStr">
        <is>
          <t>A 60562-2024</t>
        </is>
      </c>
      <c r="B14" s="1" t="n">
        <v>45642</v>
      </c>
      <c r="C14" s="1" t="n">
        <v>45716</v>
      </c>
      <c r="D14" t="inlineStr">
        <is>
          <t>ÖREBRO LÄN</t>
        </is>
      </c>
      <c r="E14" t="inlineStr">
        <is>
          <t>LJUSNARSBERG</t>
        </is>
      </c>
      <c r="G14" t="n">
        <v>15.4</v>
      </c>
      <c r="H14" t="n">
        <v>0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3</v>
      </c>
      <c r="R14" s="2" t="inlineStr">
        <is>
          <t>Garnlav
Bollvitmossa
Rödgul trumpetsvamp</t>
        </is>
      </c>
      <c r="S14">
        <f>HYPERLINK("https://klasma.github.io/Logging_1864/artfynd/A 60562-2024 artfynd.xlsx", "A 60562-2024")</f>
        <v/>
      </c>
      <c r="T14">
        <f>HYPERLINK("https://klasma.github.io/Logging_1864/kartor/A 60562-2024 karta.png", "A 60562-2024")</f>
        <v/>
      </c>
      <c r="V14">
        <f>HYPERLINK("https://klasma.github.io/Logging_1864/klagomål/A 60562-2024 FSC-klagomål.docx", "A 60562-2024")</f>
        <v/>
      </c>
      <c r="W14">
        <f>HYPERLINK("https://klasma.github.io/Logging_1864/klagomålsmail/A 60562-2024 FSC-klagomål mail.docx", "A 60562-2024")</f>
        <v/>
      </c>
      <c r="X14">
        <f>HYPERLINK("https://klasma.github.io/Logging_1864/tillsyn/A 60562-2024 tillsynsbegäran.docx", "A 60562-2024")</f>
        <v/>
      </c>
      <c r="Y14">
        <f>HYPERLINK("https://klasma.github.io/Logging_1864/tillsynsmail/A 60562-2024 tillsynsbegäran mail.docx", "A 60562-2024")</f>
        <v/>
      </c>
    </row>
    <row r="15" ht="15" customHeight="1">
      <c r="A15" t="inlineStr">
        <is>
          <t>A 41078-2022</t>
        </is>
      </c>
      <c r="B15" s="1" t="n">
        <v>44825</v>
      </c>
      <c r="C15" s="1" t="n">
        <v>45716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24.1</v>
      </c>
      <c r="H15" t="n">
        <v>0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Tajgafältmätare
Grönpyrola</t>
        </is>
      </c>
      <c r="S15">
        <f>HYPERLINK("https://klasma.github.io/Logging_1864/artfynd/A 41078-2022 artfynd.xlsx", "A 41078-2022")</f>
        <v/>
      </c>
      <c r="T15">
        <f>HYPERLINK("https://klasma.github.io/Logging_1864/kartor/A 41078-2022 karta.png", "A 41078-2022")</f>
        <v/>
      </c>
      <c r="V15">
        <f>HYPERLINK("https://klasma.github.io/Logging_1864/klagomål/A 41078-2022 FSC-klagomål.docx", "A 41078-2022")</f>
        <v/>
      </c>
      <c r="W15">
        <f>HYPERLINK("https://klasma.github.io/Logging_1864/klagomålsmail/A 41078-2022 FSC-klagomål mail.docx", "A 41078-2022")</f>
        <v/>
      </c>
      <c r="X15">
        <f>HYPERLINK("https://klasma.github.io/Logging_1864/tillsyn/A 41078-2022 tillsynsbegäran.docx", "A 41078-2022")</f>
        <v/>
      </c>
      <c r="Y15">
        <f>HYPERLINK("https://klasma.github.io/Logging_1864/tillsynsmail/A 41078-2022 tillsynsbegäran mail.docx", "A 41078-2022")</f>
        <v/>
      </c>
    </row>
    <row r="16" ht="15" customHeight="1">
      <c r="A16" t="inlineStr">
        <is>
          <t>A 62105-2022</t>
        </is>
      </c>
      <c r="B16" s="1" t="n">
        <v>44920</v>
      </c>
      <c r="C16" s="1" t="n">
        <v>45716</v>
      </c>
      <c r="D16" t="inlineStr">
        <is>
          <t>ÖREBRO LÄN</t>
        </is>
      </c>
      <c r="E16" t="inlineStr">
        <is>
          <t>LJUSNARSBERG</t>
        </is>
      </c>
      <c r="G16" t="n">
        <v>5.7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Kungsfågel</t>
        </is>
      </c>
      <c r="S16">
        <f>HYPERLINK("https://klasma.github.io/Logging_1864/artfynd/A 62105-2022 artfynd.xlsx", "A 62105-2022")</f>
        <v/>
      </c>
      <c r="T16">
        <f>HYPERLINK("https://klasma.github.io/Logging_1864/kartor/A 62105-2022 karta.png", "A 62105-2022")</f>
        <v/>
      </c>
      <c r="V16">
        <f>HYPERLINK("https://klasma.github.io/Logging_1864/klagomål/A 62105-2022 FSC-klagomål.docx", "A 62105-2022")</f>
        <v/>
      </c>
      <c r="W16">
        <f>HYPERLINK("https://klasma.github.io/Logging_1864/klagomålsmail/A 62105-2022 FSC-klagomål mail.docx", "A 62105-2022")</f>
        <v/>
      </c>
      <c r="X16">
        <f>HYPERLINK("https://klasma.github.io/Logging_1864/tillsyn/A 62105-2022 tillsynsbegäran.docx", "A 62105-2022")</f>
        <v/>
      </c>
      <c r="Y16">
        <f>HYPERLINK("https://klasma.github.io/Logging_1864/tillsynsmail/A 62105-2022 tillsynsbegäran mail.docx", "A 62105-2022")</f>
        <v/>
      </c>
      <c r="Z16">
        <f>HYPERLINK("https://klasma.github.io/Logging_1864/fåglar/A 62105-2022 prioriterade fågelarter.docx", "A 62105-2022")</f>
        <v/>
      </c>
    </row>
    <row r="17" ht="15" customHeight="1">
      <c r="A17" t="inlineStr">
        <is>
          <t>A 30360-2023</t>
        </is>
      </c>
      <c r="B17" s="1" t="n">
        <v>45111</v>
      </c>
      <c r="C17" s="1" t="n">
        <v>45716</v>
      </c>
      <c r="D17" t="inlineStr">
        <is>
          <t>ÖREBRO LÄN</t>
        </is>
      </c>
      <c r="E17" t="inlineStr">
        <is>
          <t>LJUSNARSBERG</t>
        </is>
      </c>
      <c r="G17" t="n">
        <v>20.1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Vedticka</t>
        </is>
      </c>
      <c r="S17">
        <f>HYPERLINK("https://klasma.github.io/Logging_1864/artfynd/A 30360-2023 artfynd.xlsx", "A 30360-2023")</f>
        <v/>
      </c>
      <c r="T17">
        <f>HYPERLINK("https://klasma.github.io/Logging_1864/kartor/A 30360-2023 karta.png", "A 30360-2023")</f>
        <v/>
      </c>
      <c r="V17">
        <f>HYPERLINK("https://klasma.github.io/Logging_1864/klagomål/A 30360-2023 FSC-klagomål.docx", "A 30360-2023")</f>
        <v/>
      </c>
      <c r="W17">
        <f>HYPERLINK("https://klasma.github.io/Logging_1864/klagomålsmail/A 30360-2023 FSC-klagomål mail.docx", "A 30360-2023")</f>
        <v/>
      </c>
      <c r="X17">
        <f>HYPERLINK("https://klasma.github.io/Logging_1864/tillsyn/A 30360-2023 tillsynsbegäran.docx", "A 30360-2023")</f>
        <v/>
      </c>
      <c r="Y17">
        <f>HYPERLINK("https://klasma.github.io/Logging_1864/tillsynsmail/A 30360-2023 tillsynsbegäran mail.docx", "A 30360-2023")</f>
        <v/>
      </c>
    </row>
    <row r="18" ht="15" customHeight="1">
      <c r="A18" t="inlineStr">
        <is>
          <t>A 49157-2023</t>
        </is>
      </c>
      <c r="B18" s="1" t="n">
        <v>45210</v>
      </c>
      <c r="C18" s="1" t="n">
        <v>45716</v>
      </c>
      <c r="D18" t="inlineStr">
        <is>
          <t>ÖREBRO LÄN</t>
        </is>
      </c>
      <c r="E18" t="inlineStr">
        <is>
          <t>LJUSNARSBERG</t>
        </is>
      </c>
      <c r="G18" t="n">
        <v>3</v>
      </c>
      <c r="H18" t="n">
        <v>0</v>
      </c>
      <c r="I18" t="n">
        <v>2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Rödgul trumpetsvamp
Skogshakmossa</t>
        </is>
      </c>
      <c r="S18">
        <f>HYPERLINK("https://klasma.github.io/Logging_1864/artfynd/A 49157-2023 artfynd.xlsx", "A 49157-2023")</f>
        <v/>
      </c>
      <c r="T18">
        <f>HYPERLINK("https://klasma.github.io/Logging_1864/kartor/A 49157-2023 karta.png", "A 49157-2023")</f>
        <v/>
      </c>
      <c r="V18">
        <f>HYPERLINK("https://klasma.github.io/Logging_1864/klagomål/A 49157-2023 FSC-klagomål.docx", "A 49157-2023")</f>
        <v/>
      </c>
      <c r="W18">
        <f>HYPERLINK("https://klasma.github.io/Logging_1864/klagomålsmail/A 49157-2023 FSC-klagomål mail.docx", "A 49157-2023")</f>
        <v/>
      </c>
      <c r="X18">
        <f>HYPERLINK("https://klasma.github.io/Logging_1864/tillsyn/A 49157-2023 tillsynsbegäran.docx", "A 49157-2023")</f>
        <v/>
      </c>
      <c r="Y18">
        <f>HYPERLINK("https://klasma.github.io/Logging_1864/tillsynsmail/A 49157-2023 tillsynsbegäran mail.docx", "A 49157-2023")</f>
        <v/>
      </c>
    </row>
    <row r="19" ht="15" customHeight="1">
      <c r="A19" t="inlineStr">
        <is>
          <t>A 53729-2024</t>
        </is>
      </c>
      <c r="B19" s="1" t="n">
        <v>45614</v>
      </c>
      <c r="C19" s="1" t="n">
        <v>45716</v>
      </c>
      <c r="D19" t="inlineStr">
        <is>
          <t>ÖREBRO LÄN</t>
        </is>
      </c>
      <c r="E19" t="inlineStr">
        <is>
          <t>LJUSNARSBERG</t>
        </is>
      </c>
      <c r="G19" t="n">
        <v>14</v>
      </c>
      <c r="H19" t="n">
        <v>0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Aspfjädermossa
Smal svampklubba</t>
        </is>
      </c>
      <c r="S19">
        <f>HYPERLINK("https://klasma.github.io/Logging_1864/artfynd/A 53729-2024 artfynd.xlsx", "A 53729-2024")</f>
        <v/>
      </c>
      <c r="T19">
        <f>HYPERLINK("https://klasma.github.io/Logging_1864/kartor/A 53729-2024 karta.png", "A 53729-2024")</f>
        <v/>
      </c>
      <c r="V19">
        <f>HYPERLINK("https://klasma.github.io/Logging_1864/klagomål/A 53729-2024 FSC-klagomål.docx", "A 53729-2024")</f>
        <v/>
      </c>
      <c r="W19">
        <f>HYPERLINK("https://klasma.github.io/Logging_1864/klagomålsmail/A 53729-2024 FSC-klagomål mail.docx", "A 53729-2024")</f>
        <v/>
      </c>
      <c r="X19">
        <f>HYPERLINK("https://klasma.github.io/Logging_1864/tillsyn/A 53729-2024 tillsynsbegäran.docx", "A 53729-2024")</f>
        <v/>
      </c>
      <c r="Y19">
        <f>HYPERLINK("https://klasma.github.io/Logging_1864/tillsynsmail/A 53729-2024 tillsynsbegäran mail.docx", "A 53729-2024")</f>
        <v/>
      </c>
    </row>
    <row r="20" ht="15" customHeight="1">
      <c r="A20" t="inlineStr">
        <is>
          <t>A 12383-2020</t>
        </is>
      </c>
      <c r="B20" s="1" t="n">
        <v>43896</v>
      </c>
      <c r="C20" s="1" t="n">
        <v>45716</v>
      </c>
      <c r="D20" t="inlineStr">
        <is>
          <t>ÖREBRO LÄN</t>
        </is>
      </c>
      <c r="E20" t="inlineStr">
        <is>
          <t>LJUSNARSBERG</t>
        </is>
      </c>
      <c r="G20" t="n">
        <v>3.2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Vedtrappmossa</t>
        </is>
      </c>
      <c r="S20">
        <f>HYPERLINK("https://klasma.github.io/Logging_1864/artfynd/A 12383-2020 artfynd.xlsx", "A 12383-2020")</f>
        <v/>
      </c>
      <c r="T20">
        <f>HYPERLINK("https://klasma.github.io/Logging_1864/kartor/A 12383-2020 karta.png", "A 12383-2020")</f>
        <v/>
      </c>
      <c r="V20">
        <f>HYPERLINK("https://klasma.github.io/Logging_1864/klagomål/A 12383-2020 FSC-klagomål.docx", "A 12383-2020")</f>
        <v/>
      </c>
      <c r="W20">
        <f>HYPERLINK("https://klasma.github.io/Logging_1864/klagomålsmail/A 12383-2020 FSC-klagomål mail.docx", "A 12383-2020")</f>
        <v/>
      </c>
      <c r="X20">
        <f>HYPERLINK("https://klasma.github.io/Logging_1864/tillsyn/A 12383-2020 tillsynsbegäran.docx", "A 12383-2020")</f>
        <v/>
      </c>
      <c r="Y20">
        <f>HYPERLINK("https://klasma.github.io/Logging_1864/tillsynsmail/A 12383-2020 tillsynsbegäran mail.docx", "A 12383-2020")</f>
        <v/>
      </c>
    </row>
    <row r="21" ht="15" customHeight="1">
      <c r="A21" t="inlineStr">
        <is>
          <t>A 47044-2020</t>
        </is>
      </c>
      <c r="B21" s="1" t="n">
        <v>44091</v>
      </c>
      <c r="C21" s="1" t="n">
        <v>45716</v>
      </c>
      <c r="D21" t="inlineStr">
        <is>
          <t>ÖREBRO LÄN</t>
        </is>
      </c>
      <c r="E21" t="inlineStr">
        <is>
          <t>LJUSNARSBERG</t>
        </is>
      </c>
      <c r="F21" t="inlineStr">
        <is>
          <t>Bergvik skog väst AB</t>
        </is>
      </c>
      <c r="G21" t="n">
        <v>7.6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HYPERLINK("https://klasma.github.io/Logging_1864/artfynd/A 47044-2020 artfynd.xlsx", "A 47044-2020")</f>
        <v/>
      </c>
      <c r="T21">
        <f>HYPERLINK("https://klasma.github.io/Logging_1864/kartor/A 47044-2020 karta.png", "A 47044-2020")</f>
        <v/>
      </c>
      <c r="U21">
        <f>HYPERLINK("https://klasma.github.io/Logging_1864/knärot/A 47044-2020 karta knärot.png", "A 47044-2020")</f>
        <v/>
      </c>
      <c r="V21">
        <f>HYPERLINK("https://klasma.github.io/Logging_1864/klagomål/A 47044-2020 FSC-klagomål.docx", "A 47044-2020")</f>
        <v/>
      </c>
      <c r="W21">
        <f>HYPERLINK("https://klasma.github.io/Logging_1864/klagomålsmail/A 47044-2020 FSC-klagomål mail.docx", "A 47044-2020")</f>
        <v/>
      </c>
      <c r="X21">
        <f>HYPERLINK("https://klasma.github.io/Logging_1864/tillsyn/A 47044-2020 tillsynsbegäran.docx", "A 47044-2020")</f>
        <v/>
      </c>
      <c r="Y21">
        <f>HYPERLINK("https://klasma.github.io/Logging_1864/tillsynsmail/A 47044-2020 tillsynsbegäran mail.docx", "A 47044-2020")</f>
        <v/>
      </c>
    </row>
    <row r="22" ht="15" customHeight="1">
      <c r="A22" t="inlineStr">
        <is>
          <t>A 37547-2022</t>
        </is>
      </c>
      <c r="B22" s="1" t="n">
        <v>44809</v>
      </c>
      <c r="C22" s="1" t="n">
        <v>45716</v>
      </c>
      <c r="D22" t="inlineStr">
        <is>
          <t>ÖREBRO LÄN</t>
        </is>
      </c>
      <c r="E22" t="inlineStr">
        <is>
          <t>LJUSNARSBERG</t>
        </is>
      </c>
      <c r="G22" t="n">
        <v>1.9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Fjällig taggsvamp s.str.</t>
        </is>
      </c>
      <c r="S22">
        <f>HYPERLINK("https://klasma.github.io/Logging_1864/artfynd/A 37547-2022 artfynd.xlsx", "A 37547-2022")</f>
        <v/>
      </c>
      <c r="T22">
        <f>HYPERLINK("https://klasma.github.io/Logging_1864/kartor/A 37547-2022 karta.png", "A 37547-2022")</f>
        <v/>
      </c>
      <c r="V22">
        <f>HYPERLINK("https://klasma.github.io/Logging_1864/klagomål/A 37547-2022 FSC-klagomål.docx", "A 37547-2022")</f>
        <v/>
      </c>
      <c r="W22">
        <f>HYPERLINK("https://klasma.github.io/Logging_1864/klagomålsmail/A 37547-2022 FSC-klagomål mail.docx", "A 37547-2022")</f>
        <v/>
      </c>
      <c r="X22">
        <f>HYPERLINK("https://klasma.github.io/Logging_1864/tillsyn/A 37547-2022 tillsynsbegäran.docx", "A 37547-2022")</f>
        <v/>
      </c>
      <c r="Y22">
        <f>HYPERLINK("https://klasma.github.io/Logging_1864/tillsynsmail/A 37547-2022 tillsynsbegäran mail.docx", "A 37547-2022")</f>
        <v/>
      </c>
    </row>
    <row r="23" ht="15" customHeight="1">
      <c r="A23" t="inlineStr">
        <is>
          <t>A 13233-2023</t>
        </is>
      </c>
      <c r="B23" s="1" t="n">
        <v>45002</v>
      </c>
      <c r="C23" s="1" t="n">
        <v>45716</v>
      </c>
      <c r="D23" t="inlineStr">
        <is>
          <t>ÖREBRO LÄN</t>
        </is>
      </c>
      <c r="E23" t="inlineStr">
        <is>
          <t>LJUSNARSBERG</t>
        </is>
      </c>
      <c r="G23" t="n">
        <v>6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Tunnvingemätare</t>
        </is>
      </c>
      <c r="S23">
        <f>HYPERLINK("https://klasma.github.io/Logging_1864/artfynd/A 13233-2023 artfynd.xlsx", "A 13233-2023")</f>
        <v/>
      </c>
      <c r="T23">
        <f>HYPERLINK("https://klasma.github.io/Logging_1864/kartor/A 13233-2023 karta.png", "A 13233-2023")</f>
        <v/>
      </c>
      <c r="V23">
        <f>HYPERLINK("https://klasma.github.io/Logging_1864/klagomål/A 13233-2023 FSC-klagomål.docx", "A 13233-2023")</f>
        <v/>
      </c>
      <c r="W23">
        <f>HYPERLINK("https://klasma.github.io/Logging_1864/klagomålsmail/A 13233-2023 FSC-klagomål mail.docx", "A 13233-2023")</f>
        <v/>
      </c>
      <c r="X23">
        <f>HYPERLINK("https://klasma.github.io/Logging_1864/tillsyn/A 13233-2023 tillsynsbegäran.docx", "A 13233-2023")</f>
        <v/>
      </c>
      <c r="Y23">
        <f>HYPERLINK("https://klasma.github.io/Logging_1864/tillsynsmail/A 13233-2023 tillsynsbegäran mail.docx", "A 13233-2023")</f>
        <v/>
      </c>
    </row>
    <row r="24" ht="15" customHeight="1">
      <c r="A24" t="inlineStr">
        <is>
          <t>A 34042-2023</t>
        </is>
      </c>
      <c r="B24" s="1" t="n">
        <v>45125</v>
      </c>
      <c r="C24" s="1" t="n">
        <v>45716</v>
      </c>
      <c r="D24" t="inlineStr">
        <is>
          <t>ÖREBRO LÄN</t>
        </is>
      </c>
      <c r="E24" t="inlineStr">
        <is>
          <t>LJUSNARSBERG</t>
        </is>
      </c>
      <c r="G24" t="n">
        <v>4.6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Garnlav</t>
        </is>
      </c>
      <c r="S24">
        <f>HYPERLINK("https://klasma.github.io/Logging_1864/artfynd/A 34042-2023 artfynd.xlsx", "A 34042-2023")</f>
        <v/>
      </c>
      <c r="T24">
        <f>HYPERLINK("https://klasma.github.io/Logging_1864/kartor/A 34042-2023 karta.png", "A 34042-2023")</f>
        <v/>
      </c>
      <c r="V24">
        <f>HYPERLINK("https://klasma.github.io/Logging_1864/klagomål/A 34042-2023 FSC-klagomål.docx", "A 34042-2023")</f>
        <v/>
      </c>
      <c r="W24">
        <f>HYPERLINK("https://klasma.github.io/Logging_1864/klagomålsmail/A 34042-2023 FSC-klagomål mail.docx", "A 34042-2023")</f>
        <v/>
      </c>
      <c r="X24">
        <f>HYPERLINK("https://klasma.github.io/Logging_1864/tillsyn/A 34042-2023 tillsynsbegäran.docx", "A 34042-2023")</f>
        <v/>
      </c>
      <c r="Y24">
        <f>HYPERLINK("https://klasma.github.io/Logging_1864/tillsynsmail/A 34042-2023 tillsynsbegäran mail.docx", "A 34042-2023")</f>
        <v/>
      </c>
    </row>
    <row r="25" ht="15" customHeight="1">
      <c r="A25" t="inlineStr">
        <is>
          <t>A 40812-2023</t>
        </is>
      </c>
      <c r="B25" s="1" t="n">
        <v>45171</v>
      </c>
      <c r="C25" s="1" t="n">
        <v>45716</v>
      </c>
      <c r="D25" t="inlineStr">
        <is>
          <t>ÖREBRO LÄN</t>
        </is>
      </c>
      <c r="E25" t="inlineStr">
        <is>
          <t>LJUSNARSBERG</t>
        </is>
      </c>
      <c r="G25" t="n">
        <v>3.1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HYPERLINK("https://klasma.github.io/Logging_1864/artfynd/A 40812-2023 artfynd.xlsx", "A 40812-2023")</f>
        <v/>
      </c>
      <c r="T25">
        <f>HYPERLINK("https://klasma.github.io/Logging_1864/kartor/A 40812-2023 karta.png", "A 40812-2023")</f>
        <v/>
      </c>
      <c r="V25">
        <f>HYPERLINK("https://klasma.github.io/Logging_1864/klagomål/A 40812-2023 FSC-klagomål.docx", "A 40812-2023")</f>
        <v/>
      </c>
      <c r="W25">
        <f>HYPERLINK("https://klasma.github.io/Logging_1864/klagomålsmail/A 40812-2023 FSC-klagomål mail.docx", "A 40812-2023")</f>
        <v/>
      </c>
      <c r="X25">
        <f>HYPERLINK("https://klasma.github.io/Logging_1864/tillsyn/A 40812-2023 tillsynsbegäran.docx", "A 40812-2023")</f>
        <v/>
      </c>
      <c r="Y25">
        <f>HYPERLINK("https://klasma.github.io/Logging_1864/tillsynsmail/A 40812-2023 tillsynsbegäran mail.docx", "A 40812-2023")</f>
        <v/>
      </c>
      <c r="Z25">
        <f>HYPERLINK("https://klasma.github.io/Logging_1864/fåglar/A 40812-2023 prioriterade fågelarter.docx", "A 40812-2023")</f>
        <v/>
      </c>
    </row>
    <row r="26" ht="15" customHeight="1">
      <c r="A26" t="inlineStr">
        <is>
          <t>A 24791-2024</t>
        </is>
      </c>
      <c r="B26" s="1" t="n">
        <v>45460</v>
      </c>
      <c r="C26" s="1" t="n">
        <v>45716</v>
      </c>
      <c r="D26" t="inlineStr">
        <is>
          <t>ÖREBRO LÄN</t>
        </is>
      </c>
      <c r="E26" t="inlineStr">
        <is>
          <t>LJUSNARSBERG</t>
        </is>
      </c>
      <c r="G26" t="n">
        <v>3.9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HYPERLINK("https://klasma.github.io/Logging_1864/artfynd/A 24791-2024 artfynd.xlsx", "A 24791-2024")</f>
        <v/>
      </c>
      <c r="T26">
        <f>HYPERLINK("https://klasma.github.io/Logging_1864/kartor/A 24791-2024 karta.png", "A 24791-2024")</f>
        <v/>
      </c>
      <c r="V26">
        <f>HYPERLINK("https://klasma.github.io/Logging_1864/klagomål/A 24791-2024 FSC-klagomål.docx", "A 24791-2024")</f>
        <v/>
      </c>
      <c r="W26">
        <f>HYPERLINK("https://klasma.github.io/Logging_1864/klagomålsmail/A 24791-2024 FSC-klagomål mail.docx", "A 24791-2024")</f>
        <v/>
      </c>
      <c r="X26">
        <f>HYPERLINK("https://klasma.github.io/Logging_1864/tillsyn/A 24791-2024 tillsynsbegäran.docx", "A 24791-2024")</f>
        <v/>
      </c>
      <c r="Y26">
        <f>HYPERLINK("https://klasma.github.io/Logging_1864/tillsynsmail/A 24791-2024 tillsynsbegäran mail.docx", "A 24791-2024")</f>
        <v/>
      </c>
      <c r="Z26">
        <f>HYPERLINK("https://klasma.github.io/Logging_1864/fåglar/A 24791-2024 prioriterade fågelarter.docx", "A 24791-2024")</f>
        <v/>
      </c>
    </row>
    <row r="27" ht="15" customHeight="1">
      <c r="A27" t="inlineStr">
        <is>
          <t>A 41609-2024</t>
        </is>
      </c>
      <c r="B27" s="1" t="n">
        <v>45560</v>
      </c>
      <c r="C27" s="1" t="n">
        <v>45716</v>
      </c>
      <c r="D27" t="inlineStr">
        <is>
          <t>ÖREBRO LÄN</t>
        </is>
      </c>
      <c r="E27" t="inlineStr">
        <is>
          <t>LJUSNARSBERG</t>
        </is>
      </c>
      <c r="G27" t="n">
        <v>51.2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HYPERLINK("https://klasma.github.io/Logging_1864/artfynd/A 41609-2024 artfynd.xlsx", "A 41609-2024")</f>
        <v/>
      </c>
      <c r="T27">
        <f>HYPERLINK("https://klasma.github.io/Logging_1864/kartor/A 41609-2024 karta.png", "A 41609-2024")</f>
        <v/>
      </c>
      <c r="V27">
        <f>HYPERLINK("https://klasma.github.io/Logging_1864/klagomål/A 41609-2024 FSC-klagomål.docx", "A 41609-2024")</f>
        <v/>
      </c>
      <c r="W27">
        <f>HYPERLINK("https://klasma.github.io/Logging_1864/klagomålsmail/A 41609-2024 FSC-klagomål mail.docx", "A 41609-2024")</f>
        <v/>
      </c>
      <c r="X27">
        <f>HYPERLINK("https://klasma.github.io/Logging_1864/tillsyn/A 41609-2024 tillsynsbegäran.docx", "A 41609-2024")</f>
        <v/>
      </c>
      <c r="Y27">
        <f>HYPERLINK("https://klasma.github.io/Logging_1864/tillsynsmail/A 41609-2024 tillsynsbegäran mail.docx", "A 41609-2024")</f>
        <v/>
      </c>
    </row>
    <row r="28" ht="15" customHeight="1">
      <c r="A28" t="inlineStr">
        <is>
          <t>A 56179-2024</t>
        </is>
      </c>
      <c r="B28" s="1" t="n">
        <v>45623</v>
      </c>
      <c r="C28" s="1" t="n">
        <v>45716</v>
      </c>
      <c r="D28" t="inlineStr">
        <is>
          <t>ÖREBRO LÄN</t>
        </is>
      </c>
      <c r="E28" t="inlineStr">
        <is>
          <t>LJUSNARSBERG</t>
        </is>
      </c>
      <c r="G28" t="n">
        <v>0.9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Vedticka</t>
        </is>
      </c>
      <c r="S28">
        <f>HYPERLINK("https://klasma.github.io/Logging_1864/artfynd/A 56179-2024 artfynd.xlsx", "A 56179-2024")</f>
        <v/>
      </c>
      <c r="T28">
        <f>HYPERLINK("https://klasma.github.io/Logging_1864/kartor/A 56179-2024 karta.png", "A 56179-2024")</f>
        <v/>
      </c>
      <c r="V28">
        <f>HYPERLINK("https://klasma.github.io/Logging_1864/klagomål/A 56179-2024 FSC-klagomål.docx", "A 56179-2024")</f>
        <v/>
      </c>
      <c r="W28">
        <f>HYPERLINK("https://klasma.github.io/Logging_1864/klagomålsmail/A 56179-2024 FSC-klagomål mail.docx", "A 56179-2024")</f>
        <v/>
      </c>
      <c r="X28">
        <f>HYPERLINK("https://klasma.github.io/Logging_1864/tillsyn/A 56179-2024 tillsynsbegäran.docx", "A 56179-2024")</f>
        <v/>
      </c>
      <c r="Y28">
        <f>HYPERLINK("https://klasma.github.io/Logging_1864/tillsynsmail/A 56179-2024 tillsynsbegäran mail.docx", "A 56179-2024")</f>
        <v/>
      </c>
    </row>
    <row r="29" ht="15" customHeight="1">
      <c r="A29" t="inlineStr">
        <is>
          <t>A 18595-2019</t>
        </is>
      </c>
      <c r="B29" s="1" t="n">
        <v>43560</v>
      </c>
      <c r="C29" s="1" t="n">
        <v>45716</v>
      </c>
      <c r="D29" t="inlineStr">
        <is>
          <t>ÖREBRO LÄN</t>
        </is>
      </c>
      <c r="E29" t="inlineStr">
        <is>
          <t>LJUSNARSBERG</t>
        </is>
      </c>
      <c r="G29" t="n">
        <v>2.6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19184-2019</t>
        </is>
      </c>
      <c r="B30" s="1" t="n">
        <v>43564</v>
      </c>
      <c r="C30" s="1" t="n">
        <v>45716</v>
      </c>
      <c r="D30" t="inlineStr">
        <is>
          <t>ÖREBRO LÄN</t>
        </is>
      </c>
      <c r="E30" t="inlineStr">
        <is>
          <t>LJUSNARSBERG</t>
        </is>
      </c>
      <c r="G30" t="n">
        <v>8.300000000000001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19192-2019</t>
        </is>
      </c>
      <c r="B31" s="1" t="n">
        <v>43564</v>
      </c>
      <c r="C31" s="1" t="n">
        <v>45716</v>
      </c>
      <c r="D31" t="inlineStr">
        <is>
          <t>ÖREBRO LÄN</t>
        </is>
      </c>
      <c r="E31" t="inlineStr">
        <is>
          <t>LJUSNARSBERG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19221-2019</t>
        </is>
      </c>
      <c r="B32" s="1" t="n">
        <v>43564</v>
      </c>
      <c r="C32" s="1" t="n">
        <v>45716</v>
      </c>
      <c r="D32" t="inlineStr">
        <is>
          <t>ÖREBRO LÄN</t>
        </is>
      </c>
      <c r="E32" t="inlineStr">
        <is>
          <t>LJUSNARSBERG</t>
        </is>
      </c>
      <c r="G32" t="n">
        <v>1.8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20601-2019</t>
        </is>
      </c>
      <c r="B33" s="1" t="n">
        <v>43572</v>
      </c>
      <c r="C33" s="1" t="n">
        <v>45716</v>
      </c>
      <c r="D33" t="inlineStr">
        <is>
          <t>ÖREBRO LÄN</t>
        </is>
      </c>
      <c r="E33" t="inlineStr">
        <is>
          <t>LJUSNARSBERG</t>
        </is>
      </c>
      <c r="G33" t="n">
        <v>2.1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22661-2019</t>
        </is>
      </c>
      <c r="B34" s="1" t="n">
        <v>43588</v>
      </c>
      <c r="C34" s="1" t="n">
        <v>45716</v>
      </c>
      <c r="D34" t="inlineStr">
        <is>
          <t>ÖREBRO LÄN</t>
        </is>
      </c>
      <c r="E34" t="inlineStr">
        <is>
          <t>LJUSNARSBERG</t>
        </is>
      </c>
      <c r="G34" t="n">
        <v>5.7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22723-2019</t>
        </is>
      </c>
      <c r="B35" s="1" t="n">
        <v>43588</v>
      </c>
      <c r="C35" s="1" t="n">
        <v>45716</v>
      </c>
      <c r="D35" t="inlineStr">
        <is>
          <t>ÖREBRO LÄN</t>
        </is>
      </c>
      <c r="E35" t="inlineStr">
        <is>
          <t>LJUSNARSBERG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25125-2019</t>
        </is>
      </c>
      <c r="B36" s="1" t="n">
        <v>43605</v>
      </c>
      <c r="C36" s="1" t="n">
        <v>45716</v>
      </c>
      <c r="D36" t="inlineStr">
        <is>
          <t>ÖREBRO LÄN</t>
        </is>
      </c>
      <c r="E36" t="inlineStr">
        <is>
          <t>LJUSNARSBERG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25175-2019</t>
        </is>
      </c>
      <c r="B37" s="1" t="n">
        <v>43605</v>
      </c>
      <c r="C37" s="1" t="n">
        <v>45716</v>
      </c>
      <c r="D37" t="inlineStr">
        <is>
          <t>ÖREBRO LÄN</t>
        </is>
      </c>
      <c r="E37" t="inlineStr">
        <is>
          <t>LJUSNARSBERG</t>
        </is>
      </c>
      <c r="F37" t="inlineStr">
        <is>
          <t>Bergvik skog väst AB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29980-2019</t>
        </is>
      </c>
      <c r="B38" s="1" t="n">
        <v>43633</v>
      </c>
      <c r="C38" s="1" t="n">
        <v>45716</v>
      </c>
      <c r="D38" t="inlineStr">
        <is>
          <t>ÖREBRO LÄN</t>
        </is>
      </c>
      <c r="E38" t="inlineStr">
        <is>
          <t>LJUSNARSBERG</t>
        </is>
      </c>
      <c r="F38" t="inlineStr">
        <is>
          <t>Sveaskog</t>
        </is>
      </c>
      <c r="G38" t="n">
        <v>5.3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29983-2019</t>
        </is>
      </c>
      <c r="B39" s="1" t="n">
        <v>43633</v>
      </c>
      <c r="C39" s="1" t="n">
        <v>45716</v>
      </c>
      <c r="D39" t="inlineStr">
        <is>
          <t>ÖREBRO LÄN</t>
        </is>
      </c>
      <c r="E39" t="inlineStr">
        <is>
          <t>LJUSNARSBERG</t>
        </is>
      </c>
      <c r="F39" t="inlineStr">
        <is>
          <t>Sveaskog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32320-2019</t>
        </is>
      </c>
      <c r="B40" s="1" t="n">
        <v>43644</v>
      </c>
      <c r="C40" s="1" t="n">
        <v>45716</v>
      </c>
      <c r="D40" t="inlineStr">
        <is>
          <t>ÖREBRO LÄN</t>
        </is>
      </c>
      <c r="E40" t="inlineStr">
        <is>
          <t>LJUSNARSBERG</t>
        </is>
      </c>
      <c r="F40" t="inlineStr">
        <is>
          <t>Kyrkan</t>
        </is>
      </c>
      <c r="G40" t="n">
        <v>4.8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35840-2019</t>
        </is>
      </c>
      <c r="B41" s="1" t="n">
        <v>43656</v>
      </c>
      <c r="C41" s="1" t="n">
        <v>45716</v>
      </c>
      <c r="D41" t="inlineStr">
        <is>
          <t>ÖREBRO LÄN</t>
        </is>
      </c>
      <c r="E41" t="inlineStr">
        <is>
          <t>LJUSNARSBERG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35826-2019</t>
        </is>
      </c>
      <c r="B42" s="1" t="n">
        <v>43656</v>
      </c>
      <c r="C42" s="1" t="n">
        <v>45716</v>
      </c>
      <c r="D42" t="inlineStr">
        <is>
          <t>ÖREBRO LÄN</t>
        </is>
      </c>
      <c r="E42" t="inlineStr">
        <is>
          <t>LJUSNARSBERG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35836-2019</t>
        </is>
      </c>
      <c r="B43" s="1" t="n">
        <v>43656</v>
      </c>
      <c r="C43" s="1" t="n">
        <v>45716</v>
      </c>
      <c r="D43" t="inlineStr">
        <is>
          <t>ÖREBRO LÄN</t>
        </is>
      </c>
      <c r="E43" t="inlineStr">
        <is>
          <t>LJUSNARSBERG</t>
        </is>
      </c>
      <c r="G43" t="n">
        <v>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35843-2019</t>
        </is>
      </c>
      <c r="B44" s="1" t="n">
        <v>43656</v>
      </c>
      <c r="C44" s="1" t="n">
        <v>45716</v>
      </c>
      <c r="D44" t="inlineStr">
        <is>
          <t>ÖREBRO LÄN</t>
        </is>
      </c>
      <c r="E44" t="inlineStr">
        <is>
          <t>LJUSNARSBERG</t>
        </is>
      </c>
      <c r="G44" t="n">
        <v>7.4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35776-2019</t>
        </is>
      </c>
      <c r="B45" s="1" t="n">
        <v>43656</v>
      </c>
      <c r="C45" s="1" t="n">
        <v>45716</v>
      </c>
      <c r="D45" t="inlineStr">
        <is>
          <t>ÖREBRO LÄN</t>
        </is>
      </c>
      <c r="E45" t="inlineStr">
        <is>
          <t>LJUSNARSBERG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40720-2019</t>
        </is>
      </c>
      <c r="B46" s="1" t="n">
        <v>43697</v>
      </c>
      <c r="C46" s="1" t="n">
        <v>45716</v>
      </c>
      <c r="D46" t="inlineStr">
        <is>
          <t>ÖREBRO LÄN</t>
        </is>
      </c>
      <c r="E46" t="inlineStr">
        <is>
          <t>LJUSNARSBERG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43870-2019</t>
        </is>
      </c>
      <c r="B47" s="1" t="n">
        <v>43707</v>
      </c>
      <c r="C47" s="1" t="n">
        <v>45716</v>
      </c>
      <c r="D47" t="inlineStr">
        <is>
          <t>ÖREBRO LÄN</t>
        </is>
      </c>
      <c r="E47" t="inlineStr">
        <is>
          <t>LJUSNARSBERG</t>
        </is>
      </c>
      <c r="F47" t="inlineStr">
        <is>
          <t>Bergvik skog väst AB</t>
        </is>
      </c>
      <c r="G47" t="n">
        <v>2.2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45813-2019</t>
        </is>
      </c>
      <c r="B48" s="1" t="n">
        <v>43717</v>
      </c>
      <c r="C48" s="1" t="n">
        <v>45716</v>
      </c>
      <c r="D48" t="inlineStr">
        <is>
          <t>ÖREBRO LÄN</t>
        </is>
      </c>
      <c r="E48" t="inlineStr">
        <is>
          <t>LJUSNARSBERG</t>
        </is>
      </c>
      <c r="F48" t="inlineStr">
        <is>
          <t>Bergvik skog väst AB</t>
        </is>
      </c>
      <c r="G48" t="n">
        <v>2.9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46899-2019</t>
        </is>
      </c>
      <c r="B49" s="1" t="n">
        <v>43719</v>
      </c>
      <c r="C49" s="1" t="n">
        <v>45716</v>
      </c>
      <c r="D49" t="inlineStr">
        <is>
          <t>ÖREBRO LÄN</t>
        </is>
      </c>
      <c r="E49" t="inlineStr">
        <is>
          <t>LJUSNARSBERG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50485-2019</t>
        </is>
      </c>
      <c r="B50" s="1" t="n">
        <v>43735</v>
      </c>
      <c r="C50" s="1" t="n">
        <v>45716</v>
      </c>
      <c r="D50" t="inlineStr">
        <is>
          <t>ÖREBRO LÄN</t>
        </is>
      </c>
      <c r="E50" t="inlineStr">
        <is>
          <t>LJUSNARSBERG</t>
        </is>
      </c>
      <c r="F50" t="inlineStr">
        <is>
          <t>Bergvik skog väst AB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55979-2019</t>
        </is>
      </c>
      <c r="B51" s="1" t="n">
        <v>43759</v>
      </c>
      <c r="C51" s="1" t="n">
        <v>45716</v>
      </c>
      <c r="D51" t="inlineStr">
        <is>
          <t>ÖREBRO LÄN</t>
        </is>
      </c>
      <c r="E51" t="inlineStr">
        <is>
          <t>LJUSNARSBERG</t>
        </is>
      </c>
      <c r="F51" t="inlineStr">
        <is>
          <t>Kyrkan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60066-2019</t>
        </is>
      </c>
      <c r="B52" s="1" t="n">
        <v>43777</v>
      </c>
      <c r="C52" s="1" t="n">
        <v>45716</v>
      </c>
      <c r="D52" t="inlineStr">
        <is>
          <t>ÖREBRO LÄN</t>
        </is>
      </c>
      <c r="E52" t="inlineStr">
        <is>
          <t>LJUSNARSBERG</t>
        </is>
      </c>
      <c r="F52" t="inlineStr">
        <is>
          <t>Kyrkan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60009-2019</t>
        </is>
      </c>
      <c r="B53" s="1" t="n">
        <v>43777</v>
      </c>
      <c r="C53" s="1" t="n">
        <v>45716</v>
      </c>
      <c r="D53" t="inlineStr">
        <is>
          <t>ÖREBRO LÄN</t>
        </is>
      </c>
      <c r="E53" t="inlineStr">
        <is>
          <t>LJUSNARSBERG</t>
        </is>
      </c>
      <c r="F53" t="inlineStr">
        <is>
          <t>Kyrkan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60069-2019</t>
        </is>
      </c>
      <c r="B54" s="1" t="n">
        <v>43777</v>
      </c>
      <c r="C54" s="1" t="n">
        <v>45716</v>
      </c>
      <c r="D54" t="inlineStr">
        <is>
          <t>ÖREBRO LÄN</t>
        </is>
      </c>
      <c r="E54" t="inlineStr">
        <is>
          <t>LJUSNARSBERG</t>
        </is>
      </c>
      <c r="F54" t="inlineStr">
        <is>
          <t>Kyrkan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60243-2019</t>
        </is>
      </c>
      <c r="B55" s="1" t="n">
        <v>43780</v>
      </c>
      <c r="C55" s="1" t="n">
        <v>45716</v>
      </c>
      <c r="D55" t="inlineStr">
        <is>
          <t>ÖREBRO LÄN</t>
        </is>
      </c>
      <c r="E55" t="inlineStr">
        <is>
          <t>LJUSNARSBERG</t>
        </is>
      </c>
      <c r="F55" t="inlineStr">
        <is>
          <t>Kyrkan</t>
        </is>
      </c>
      <c r="G55" t="n">
        <v>8.300000000000001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60192-2019</t>
        </is>
      </c>
      <c r="B56" s="1" t="n">
        <v>43780</v>
      </c>
      <c r="C56" s="1" t="n">
        <v>45716</v>
      </c>
      <c r="D56" t="inlineStr">
        <is>
          <t>ÖREBRO LÄN</t>
        </is>
      </c>
      <c r="E56" t="inlineStr">
        <is>
          <t>LJUSNARSBERG</t>
        </is>
      </c>
      <c r="F56" t="inlineStr">
        <is>
          <t>Kyrkan</t>
        </is>
      </c>
      <c r="G56" t="n">
        <v>2.8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60733-2019</t>
        </is>
      </c>
      <c r="B57" s="1" t="n">
        <v>43781</v>
      </c>
      <c r="C57" s="1" t="n">
        <v>45716</v>
      </c>
      <c r="D57" t="inlineStr">
        <is>
          <t>ÖREBRO LÄN</t>
        </is>
      </c>
      <c r="E57" t="inlineStr">
        <is>
          <t>LJUSNARSBERG</t>
        </is>
      </c>
      <c r="F57" t="inlineStr">
        <is>
          <t>Bergvik skog väst AB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61510-2019</t>
        </is>
      </c>
      <c r="B58" s="1" t="n">
        <v>43783</v>
      </c>
      <c r="C58" s="1" t="n">
        <v>45716</v>
      </c>
      <c r="D58" t="inlineStr">
        <is>
          <t>ÖREBRO LÄN</t>
        </is>
      </c>
      <c r="E58" t="inlineStr">
        <is>
          <t>LJUSNARSBERG</t>
        </is>
      </c>
      <c r="G58" t="n">
        <v>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65185-2019</t>
        </is>
      </c>
      <c r="B59" s="1" t="n">
        <v>43796</v>
      </c>
      <c r="C59" s="1" t="n">
        <v>45716</v>
      </c>
      <c r="D59" t="inlineStr">
        <is>
          <t>ÖREBRO LÄN</t>
        </is>
      </c>
      <c r="E59" t="inlineStr">
        <is>
          <t>LJUSNARSBERG</t>
        </is>
      </c>
      <c r="F59" t="inlineStr">
        <is>
          <t>Bergvik skog väst AB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64675-2019</t>
        </is>
      </c>
      <c r="B60" s="1" t="n">
        <v>43798</v>
      </c>
      <c r="C60" s="1" t="n">
        <v>45716</v>
      </c>
      <c r="D60" t="inlineStr">
        <is>
          <t>ÖREBRO LÄN</t>
        </is>
      </c>
      <c r="E60" t="inlineStr">
        <is>
          <t>LJUSNARSBERG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64860-2019</t>
        </is>
      </c>
      <c r="B61" s="1" t="n">
        <v>43801</v>
      </c>
      <c r="C61" s="1" t="n">
        <v>45716</v>
      </c>
      <c r="D61" t="inlineStr">
        <is>
          <t>ÖREBRO LÄN</t>
        </is>
      </c>
      <c r="E61" t="inlineStr">
        <is>
          <t>LJUSNARSBERG</t>
        </is>
      </c>
      <c r="G61" t="n">
        <v>5.3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65251-2019</t>
        </is>
      </c>
      <c r="B62" s="1" t="n">
        <v>43802</v>
      </c>
      <c r="C62" s="1" t="n">
        <v>45716</v>
      </c>
      <c r="D62" t="inlineStr">
        <is>
          <t>ÖREBRO LÄN</t>
        </is>
      </c>
      <c r="E62" t="inlineStr">
        <is>
          <t>LJUSNARSBERG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65920-2019</t>
        </is>
      </c>
      <c r="B63" s="1" t="n">
        <v>43805</v>
      </c>
      <c r="C63" s="1" t="n">
        <v>45716</v>
      </c>
      <c r="D63" t="inlineStr">
        <is>
          <t>ÖREBRO LÄN</t>
        </is>
      </c>
      <c r="E63" t="inlineStr">
        <is>
          <t>LJUSNARSBERG</t>
        </is>
      </c>
      <c r="G63" t="n">
        <v>1.7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67236-2019</t>
        </is>
      </c>
      <c r="B64" s="1" t="n">
        <v>43812</v>
      </c>
      <c r="C64" s="1" t="n">
        <v>45716</v>
      </c>
      <c r="D64" t="inlineStr">
        <is>
          <t>ÖREBRO LÄN</t>
        </is>
      </c>
      <c r="E64" t="inlineStr">
        <is>
          <t>LJUSNARSBERG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8421-2020</t>
        </is>
      </c>
      <c r="B65" s="1" t="n">
        <v>43874</v>
      </c>
      <c r="C65" s="1" t="n">
        <v>45716</v>
      </c>
      <c r="D65" t="inlineStr">
        <is>
          <t>ÖREBRO LÄN</t>
        </is>
      </c>
      <c r="E65" t="inlineStr">
        <is>
          <t>LJUSNARSBERG</t>
        </is>
      </c>
      <c r="G65" t="n">
        <v>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10684-2020</t>
        </is>
      </c>
      <c r="B66" s="1" t="n">
        <v>43888</v>
      </c>
      <c r="C66" s="1" t="n">
        <v>45716</v>
      </c>
      <c r="D66" t="inlineStr">
        <is>
          <t>ÖREBRO LÄN</t>
        </is>
      </c>
      <c r="E66" t="inlineStr">
        <is>
          <t>LJUSNARSBERG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13605-2020</t>
        </is>
      </c>
      <c r="B67" s="1" t="n">
        <v>43895</v>
      </c>
      <c r="C67" s="1" t="n">
        <v>45716</v>
      </c>
      <c r="D67" t="inlineStr">
        <is>
          <t>ÖREBRO LÄN</t>
        </is>
      </c>
      <c r="E67" t="inlineStr">
        <is>
          <t>LJUSNARSBERG</t>
        </is>
      </c>
      <c r="G67" t="n">
        <v>1.3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13591-2020</t>
        </is>
      </c>
      <c r="B68" s="1" t="n">
        <v>43903</v>
      </c>
      <c r="C68" s="1" t="n">
        <v>45716</v>
      </c>
      <c r="D68" t="inlineStr">
        <is>
          <t>ÖREBRO LÄN</t>
        </is>
      </c>
      <c r="E68" t="inlineStr">
        <is>
          <t>LJUSNARSBERG</t>
        </is>
      </c>
      <c r="G68" t="n">
        <v>1.6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18527-2020</t>
        </is>
      </c>
      <c r="B69" s="1" t="n">
        <v>43927</v>
      </c>
      <c r="C69" s="1" t="n">
        <v>45716</v>
      </c>
      <c r="D69" t="inlineStr">
        <is>
          <t>ÖREBRO LÄN</t>
        </is>
      </c>
      <c r="E69" t="inlineStr">
        <is>
          <t>LJUSNARSBERG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24995-2020</t>
        </is>
      </c>
      <c r="B70" s="1" t="n">
        <v>43979</v>
      </c>
      <c r="C70" s="1" t="n">
        <v>45716</v>
      </c>
      <c r="D70" t="inlineStr">
        <is>
          <t>ÖREBRO LÄN</t>
        </is>
      </c>
      <c r="E70" t="inlineStr">
        <is>
          <t>LJUSNARSBERG</t>
        </is>
      </c>
      <c r="G70" t="n">
        <v>7.2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25862-2020</t>
        </is>
      </c>
      <c r="B71" s="1" t="n">
        <v>43984</v>
      </c>
      <c r="C71" s="1" t="n">
        <v>45716</v>
      </c>
      <c r="D71" t="inlineStr">
        <is>
          <t>ÖREBRO LÄN</t>
        </is>
      </c>
      <c r="E71" t="inlineStr">
        <is>
          <t>LJUSNARSBERG</t>
        </is>
      </c>
      <c r="F71" t="inlineStr">
        <is>
          <t>Sveaskog</t>
        </is>
      </c>
      <c r="G71" t="n">
        <v>0.1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31511-2020</t>
        </is>
      </c>
      <c r="B72" s="1" t="n">
        <v>44013</v>
      </c>
      <c r="C72" s="1" t="n">
        <v>45716</v>
      </c>
      <c r="D72" t="inlineStr">
        <is>
          <t>ÖREBRO LÄN</t>
        </is>
      </c>
      <c r="E72" t="inlineStr">
        <is>
          <t>LJUSNARSBERG</t>
        </is>
      </c>
      <c r="F72" t="inlineStr">
        <is>
          <t>Bergvik skog väst AB</t>
        </is>
      </c>
      <c r="G72" t="n">
        <v>5.3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35874-2020</t>
        </is>
      </c>
      <c r="B73" s="1" t="n">
        <v>44047</v>
      </c>
      <c r="C73" s="1" t="n">
        <v>45716</v>
      </c>
      <c r="D73" t="inlineStr">
        <is>
          <t>ÖREBRO LÄN</t>
        </is>
      </c>
      <c r="E73" t="inlineStr">
        <is>
          <t>LJUSNARSBERG</t>
        </is>
      </c>
      <c r="G73" t="n">
        <v>2.3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35913-2020</t>
        </is>
      </c>
      <c r="B74" s="1" t="n">
        <v>44047</v>
      </c>
      <c r="C74" s="1" t="n">
        <v>45716</v>
      </c>
      <c r="D74" t="inlineStr">
        <is>
          <t>ÖREBRO LÄN</t>
        </is>
      </c>
      <c r="E74" t="inlineStr">
        <is>
          <t>LJUSNARSBERG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35960-2020</t>
        </is>
      </c>
      <c r="B75" s="1" t="n">
        <v>44047</v>
      </c>
      <c r="C75" s="1" t="n">
        <v>45716</v>
      </c>
      <c r="D75" t="inlineStr">
        <is>
          <t>ÖREBRO LÄN</t>
        </is>
      </c>
      <c r="E75" t="inlineStr">
        <is>
          <t>LJUSNARSBERG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36601-2020</t>
        </is>
      </c>
      <c r="B76" s="1" t="n">
        <v>44050</v>
      </c>
      <c r="C76" s="1" t="n">
        <v>45716</v>
      </c>
      <c r="D76" t="inlineStr">
        <is>
          <t>ÖREBRO LÄN</t>
        </is>
      </c>
      <c r="E76" t="inlineStr">
        <is>
          <t>LJUSNARSBERG</t>
        </is>
      </c>
      <c r="G76" t="n">
        <v>2.5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38911-2020</t>
        </is>
      </c>
      <c r="B77" s="1" t="n">
        <v>44062</v>
      </c>
      <c r="C77" s="1" t="n">
        <v>45716</v>
      </c>
      <c r="D77" t="inlineStr">
        <is>
          <t>ÖREBRO LÄN</t>
        </is>
      </c>
      <c r="E77" t="inlineStr">
        <is>
          <t>LJUSNARSBERG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41381-2020</t>
        </is>
      </c>
      <c r="B78" s="1" t="n">
        <v>44072</v>
      </c>
      <c r="C78" s="1" t="n">
        <v>45716</v>
      </c>
      <c r="D78" t="inlineStr">
        <is>
          <t>ÖREBRO LÄN</t>
        </is>
      </c>
      <c r="E78" t="inlineStr">
        <is>
          <t>LJUSNARSBERG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52919-2020</t>
        </is>
      </c>
      <c r="B79" s="1" t="n">
        <v>44120</v>
      </c>
      <c r="C79" s="1" t="n">
        <v>45716</v>
      </c>
      <c r="D79" t="inlineStr">
        <is>
          <t>ÖREBRO LÄN</t>
        </is>
      </c>
      <c r="E79" t="inlineStr">
        <is>
          <t>LJUSNARSBERG</t>
        </is>
      </c>
      <c r="G79" t="n">
        <v>1.4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55248-2020</t>
        </is>
      </c>
      <c r="B80" s="1" t="n">
        <v>44130</v>
      </c>
      <c r="C80" s="1" t="n">
        <v>45716</v>
      </c>
      <c r="D80" t="inlineStr">
        <is>
          <t>ÖREBRO LÄN</t>
        </is>
      </c>
      <c r="E80" t="inlineStr">
        <is>
          <t>LJUSNARSBERG</t>
        </is>
      </c>
      <c r="G80" t="n">
        <v>0.5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59516-2020</t>
        </is>
      </c>
      <c r="B81" s="1" t="n">
        <v>44148</v>
      </c>
      <c r="C81" s="1" t="n">
        <v>45716</v>
      </c>
      <c r="D81" t="inlineStr">
        <is>
          <t>ÖREBRO LÄN</t>
        </is>
      </c>
      <c r="E81" t="inlineStr">
        <is>
          <t>LJUSNARSBERG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59517-2020</t>
        </is>
      </c>
      <c r="B82" s="1" t="n">
        <v>44148</v>
      </c>
      <c r="C82" s="1" t="n">
        <v>45716</v>
      </c>
      <c r="D82" t="inlineStr">
        <is>
          <t>ÖREBRO LÄN</t>
        </is>
      </c>
      <c r="E82" t="inlineStr">
        <is>
          <t>LJUSNARSBERG</t>
        </is>
      </c>
      <c r="G82" t="n">
        <v>4.8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66209-2020</t>
        </is>
      </c>
      <c r="B83" s="1" t="n">
        <v>44175</v>
      </c>
      <c r="C83" s="1" t="n">
        <v>45716</v>
      </c>
      <c r="D83" t="inlineStr">
        <is>
          <t>ÖREBRO LÄN</t>
        </is>
      </c>
      <c r="E83" t="inlineStr">
        <is>
          <t>LJUSNARSBERG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1577-2021</t>
        </is>
      </c>
      <c r="B84" s="1" t="n">
        <v>44209</v>
      </c>
      <c r="C84" s="1" t="n">
        <v>45716</v>
      </c>
      <c r="D84" t="inlineStr">
        <is>
          <t>ÖREBRO LÄN</t>
        </is>
      </c>
      <c r="E84" t="inlineStr">
        <is>
          <t>LJUSNARSBERG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4876-2021</t>
        </is>
      </c>
      <c r="B85" s="1" t="n">
        <v>44225</v>
      </c>
      <c r="C85" s="1" t="n">
        <v>45716</v>
      </c>
      <c r="D85" t="inlineStr">
        <is>
          <t>ÖREBRO LÄN</t>
        </is>
      </c>
      <c r="E85" t="inlineStr">
        <is>
          <t>LJUSNARSBERG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4964-2021</t>
        </is>
      </c>
      <c r="B86" s="1" t="n">
        <v>44228</v>
      </c>
      <c r="C86" s="1" t="n">
        <v>45716</v>
      </c>
      <c r="D86" t="inlineStr">
        <is>
          <t>ÖREBRO LÄN</t>
        </is>
      </c>
      <c r="E86" t="inlineStr">
        <is>
          <t>LJUSNARSBERG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14153-2021</t>
        </is>
      </c>
      <c r="B87" s="1" t="n">
        <v>44278</v>
      </c>
      <c r="C87" s="1" t="n">
        <v>45716</v>
      </c>
      <c r="D87" t="inlineStr">
        <is>
          <t>ÖREBRO LÄN</t>
        </is>
      </c>
      <c r="E87" t="inlineStr">
        <is>
          <t>LJUSNARSBERG</t>
        </is>
      </c>
      <c r="G87" t="n">
        <v>4.4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14249-2021</t>
        </is>
      </c>
      <c r="B88" s="1" t="n">
        <v>44278</v>
      </c>
      <c r="C88" s="1" t="n">
        <v>45716</v>
      </c>
      <c r="D88" t="inlineStr">
        <is>
          <t>ÖREBRO LÄN</t>
        </is>
      </c>
      <c r="E88" t="inlineStr">
        <is>
          <t>LJUSNARSBERG</t>
        </is>
      </c>
      <c r="G88" t="n">
        <v>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15329-2021</t>
        </is>
      </c>
      <c r="B89" s="1" t="n">
        <v>44284</v>
      </c>
      <c r="C89" s="1" t="n">
        <v>45716</v>
      </c>
      <c r="D89" t="inlineStr">
        <is>
          <t>ÖREBRO LÄN</t>
        </is>
      </c>
      <c r="E89" t="inlineStr">
        <is>
          <t>LJUSNARSBERG</t>
        </is>
      </c>
      <c r="G89" t="n">
        <v>6.1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15403-2021</t>
        </is>
      </c>
      <c r="B90" s="1" t="n">
        <v>44284</v>
      </c>
      <c r="C90" s="1" t="n">
        <v>45716</v>
      </c>
      <c r="D90" t="inlineStr">
        <is>
          <t>ÖREBRO LÄN</t>
        </is>
      </c>
      <c r="E90" t="inlineStr">
        <is>
          <t>LJUSNARSBERG</t>
        </is>
      </c>
      <c r="G90" t="n">
        <v>5.9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15325-2021</t>
        </is>
      </c>
      <c r="B91" s="1" t="n">
        <v>44284</v>
      </c>
      <c r="C91" s="1" t="n">
        <v>45716</v>
      </c>
      <c r="D91" t="inlineStr">
        <is>
          <t>ÖREBRO LÄN</t>
        </is>
      </c>
      <c r="E91" t="inlineStr">
        <is>
          <t>LJUSNARSBERG</t>
        </is>
      </c>
      <c r="G91" t="n">
        <v>1.7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18080-2021</t>
        </is>
      </c>
      <c r="B92" s="1" t="n">
        <v>44302</v>
      </c>
      <c r="C92" s="1" t="n">
        <v>45716</v>
      </c>
      <c r="D92" t="inlineStr">
        <is>
          <t>ÖREBRO LÄN</t>
        </is>
      </c>
      <c r="E92" t="inlineStr">
        <is>
          <t>LJUSNARSBERG</t>
        </is>
      </c>
      <c r="G92" t="n">
        <v>3.1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22869-2021</t>
        </is>
      </c>
      <c r="B93" s="1" t="n">
        <v>44328</v>
      </c>
      <c r="C93" s="1" t="n">
        <v>45716</v>
      </c>
      <c r="D93" t="inlineStr">
        <is>
          <t>ÖREBRO LÄN</t>
        </is>
      </c>
      <c r="E93" t="inlineStr">
        <is>
          <t>LJUSNARSBERG</t>
        </is>
      </c>
      <c r="F93" t="inlineStr">
        <is>
          <t>Bergvik skog väst AB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23196-2021</t>
        </is>
      </c>
      <c r="B94" s="1" t="n">
        <v>44333</v>
      </c>
      <c r="C94" s="1" t="n">
        <v>45716</v>
      </c>
      <c r="D94" t="inlineStr">
        <is>
          <t>ÖREBRO LÄN</t>
        </is>
      </c>
      <c r="E94" t="inlineStr">
        <is>
          <t>LJUSNARSBERG</t>
        </is>
      </c>
      <c r="F94" t="inlineStr">
        <is>
          <t>Kyrkan</t>
        </is>
      </c>
      <c r="G94" t="n">
        <v>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26597-2021</t>
        </is>
      </c>
      <c r="B95" s="1" t="n">
        <v>44348</v>
      </c>
      <c r="C95" s="1" t="n">
        <v>45716</v>
      </c>
      <c r="D95" t="inlineStr">
        <is>
          <t>ÖREBRO LÄN</t>
        </is>
      </c>
      <c r="E95" t="inlineStr">
        <is>
          <t>LJUSNARSBERG</t>
        </is>
      </c>
      <c r="F95" t="inlineStr">
        <is>
          <t>Bergvik skog väst AB</t>
        </is>
      </c>
      <c r="G95" t="n">
        <v>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26536-2021</t>
        </is>
      </c>
      <c r="B96" s="1" t="n">
        <v>44348</v>
      </c>
      <c r="C96" s="1" t="n">
        <v>45716</v>
      </c>
      <c r="D96" t="inlineStr">
        <is>
          <t>ÖREBRO LÄN</t>
        </is>
      </c>
      <c r="E96" t="inlineStr">
        <is>
          <t>LJUSNARSBERG</t>
        </is>
      </c>
      <c r="F96" t="inlineStr">
        <is>
          <t>Bergvik skog väst AB</t>
        </is>
      </c>
      <c r="G96" t="n">
        <v>3.8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29651-2021</t>
        </is>
      </c>
      <c r="B97" s="1" t="n">
        <v>44362</v>
      </c>
      <c r="C97" s="1" t="n">
        <v>45716</v>
      </c>
      <c r="D97" t="inlineStr">
        <is>
          <t>ÖREBRO LÄN</t>
        </is>
      </c>
      <c r="E97" t="inlineStr">
        <is>
          <t>LJUSNARSBERG</t>
        </is>
      </c>
      <c r="F97" t="inlineStr">
        <is>
          <t>Övriga Aktiebolag</t>
        </is>
      </c>
      <c r="G97" t="n">
        <v>3.3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30148-2021</t>
        </is>
      </c>
      <c r="B98" s="1" t="n">
        <v>44363</v>
      </c>
      <c r="C98" s="1" t="n">
        <v>45716</v>
      </c>
      <c r="D98" t="inlineStr">
        <is>
          <t>ÖREBRO LÄN</t>
        </is>
      </c>
      <c r="E98" t="inlineStr">
        <is>
          <t>LJUSNARSBERG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31050-2021</t>
        </is>
      </c>
      <c r="B99" s="1" t="n">
        <v>44368</v>
      </c>
      <c r="C99" s="1" t="n">
        <v>45716</v>
      </c>
      <c r="D99" t="inlineStr">
        <is>
          <t>ÖREBRO LÄN</t>
        </is>
      </c>
      <c r="E99" t="inlineStr">
        <is>
          <t>LJUSNARSBERG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31549-2021</t>
        </is>
      </c>
      <c r="B100" s="1" t="n">
        <v>44369</v>
      </c>
      <c r="C100" s="1" t="n">
        <v>45716</v>
      </c>
      <c r="D100" t="inlineStr">
        <is>
          <t>ÖREBRO LÄN</t>
        </is>
      </c>
      <c r="E100" t="inlineStr">
        <is>
          <t>LJUSNARSBERG</t>
        </is>
      </c>
      <c r="F100" t="inlineStr">
        <is>
          <t>Bergvik skog väst AB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33031-2021</t>
        </is>
      </c>
      <c r="B101" s="1" t="n">
        <v>44376</v>
      </c>
      <c r="C101" s="1" t="n">
        <v>45716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3.8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33060-2021</t>
        </is>
      </c>
      <c r="B102" s="1" t="n">
        <v>44376</v>
      </c>
      <c r="C102" s="1" t="n">
        <v>45716</v>
      </c>
      <c r="D102" t="inlineStr">
        <is>
          <t>ÖREBRO LÄN</t>
        </is>
      </c>
      <c r="E102" t="inlineStr">
        <is>
          <t>LJUSNARSBERG</t>
        </is>
      </c>
      <c r="F102" t="inlineStr">
        <is>
          <t>Bergvik skog väst AB</t>
        </is>
      </c>
      <c r="G102" t="n">
        <v>4.3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35794-2021</t>
        </is>
      </c>
      <c r="B103" s="1" t="n">
        <v>44386</v>
      </c>
      <c r="C103" s="1" t="n">
        <v>45716</v>
      </c>
      <c r="D103" t="inlineStr">
        <is>
          <t>ÖREBRO LÄN</t>
        </is>
      </c>
      <c r="E103" t="inlineStr">
        <is>
          <t>LJUSNARSBERG</t>
        </is>
      </c>
      <c r="G103" t="n">
        <v>37.5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36547-2021</t>
        </is>
      </c>
      <c r="B104" s="1" t="n">
        <v>44391</v>
      </c>
      <c r="C104" s="1" t="n">
        <v>45716</v>
      </c>
      <c r="D104" t="inlineStr">
        <is>
          <t>ÖREBRO LÄN</t>
        </is>
      </c>
      <c r="E104" t="inlineStr">
        <is>
          <t>LJUSNARSBERG</t>
        </is>
      </c>
      <c r="G104" t="n">
        <v>23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39187-2021</t>
        </is>
      </c>
      <c r="B105" s="1" t="n">
        <v>44412</v>
      </c>
      <c r="C105" s="1" t="n">
        <v>45716</v>
      </c>
      <c r="D105" t="inlineStr">
        <is>
          <t>ÖREBRO LÄN</t>
        </is>
      </c>
      <c r="E105" t="inlineStr">
        <is>
          <t>LJUSNARSBERG</t>
        </is>
      </c>
      <c r="G105" t="n">
        <v>2.3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41453-2021</t>
        </is>
      </c>
      <c r="B106" s="1" t="n">
        <v>44424</v>
      </c>
      <c r="C106" s="1" t="n">
        <v>45716</v>
      </c>
      <c r="D106" t="inlineStr">
        <is>
          <t>ÖREBRO LÄN</t>
        </is>
      </c>
      <c r="E106" t="inlineStr">
        <is>
          <t>LJUSNARSBERG</t>
        </is>
      </c>
      <c r="F106" t="inlineStr">
        <is>
          <t>Bergvik skog väst AB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44293-2021</t>
        </is>
      </c>
      <c r="B107" s="1" t="n">
        <v>44435</v>
      </c>
      <c r="C107" s="1" t="n">
        <v>45716</v>
      </c>
      <c r="D107" t="inlineStr">
        <is>
          <t>ÖREBRO LÄN</t>
        </is>
      </c>
      <c r="E107" t="inlineStr">
        <is>
          <t>LJUSNARSBERG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44282-2021</t>
        </is>
      </c>
      <c r="B108" s="1" t="n">
        <v>44435</v>
      </c>
      <c r="C108" s="1" t="n">
        <v>45716</v>
      </c>
      <c r="D108" t="inlineStr">
        <is>
          <t>ÖREBRO LÄN</t>
        </is>
      </c>
      <c r="E108" t="inlineStr">
        <is>
          <t>LJUSNARSBERG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44788-2021</t>
        </is>
      </c>
      <c r="B109" s="1" t="n">
        <v>44438</v>
      </c>
      <c r="C109" s="1" t="n">
        <v>45716</v>
      </c>
      <c r="D109" t="inlineStr">
        <is>
          <t>ÖREBRO LÄN</t>
        </is>
      </c>
      <c r="E109" t="inlineStr">
        <is>
          <t>LJUSNARSBERG</t>
        </is>
      </c>
      <c r="F109" t="inlineStr">
        <is>
          <t>Bergvik skog väst AB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44807-2021</t>
        </is>
      </c>
      <c r="B110" s="1" t="n">
        <v>44438</v>
      </c>
      <c r="C110" s="1" t="n">
        <v>45716</v>
      </c>
      <c r="D110" t="inlineStr">
        <is>
          <t>ÖREBRO LÄN</t>
        </is>
      </c>
      <c r="E110" t="inlineStr">
        <is>
          <t>LJUSNARSBERG</t>
        </is>
      </c>
      <c r="F110" t="inlineStr">
        <is>
          <t>Bergvik skog väst AB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44850-2021</t>
        </is>
      </c>
      <c r="B111" s="1" t="n">
        <v>44438</v>
      </c>
      <c r="C111" s="1" t="n">
        <v>45716</v>
      </c>
      <c r="D111" t="inlineStr">
        <is>
          <t>ÖREBRO LÄN</t>
        </is>
      </c>
      <c r="E111" t="inlineStr">
        <is>
          <t>LJUSNARSBERG</t>
        </is>
      </c>
      <c r="G111" t="n">
        <v>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44858-2021</t>
        </is>
      </c>
      <c r="B112" s="1" t="n">
        <v>44438</v>
      </c>
      <c r="C112" s="1" t="n">
        <v>45716</v>
      </c>
      <c r="D112" t="inlineStr">
        <is>
          <t>ÖREBRO LÄN</t>
        </is>
      </c>
      <c r="E112" t="inlineStr">
        <is>
          <t>LJUSNARSBERG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45797-2021</t>
        </is>
      </c>
      <c r="B113" s="1" t="n">
        <v>44441</v>
      </c>
      <c r="C113" s="1" t="n">
        <v>45716</v>
      </c>
      <c r="D113" t="inlineStr">
        <is>
          <t>ÖREBRO LÄN</t>
        </is>
      </c>
      <c r="E113" t="inlineStr">
        <is>
          <t>LJUSNARSBERG</t>
        </is>
      </c>
      <c r="G113" t="n">
        <v>9.9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45859-2021</t>
        </is>
      </c>
      <c r="B114" s="1" t="n">
        <v>44441</v>
      </c>
      <c r="C114" s="1" t="n">
        <v>45716</v>
      </c>
      <c r="D114" t="inlineStr">
        <is>
          <t>ÖREBRO LÄN</t>
        </is>
      </c>
      <c r="E114" t="inlineStr">
        <is>
          <t>LJUSNARSBERG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46263-2021</t>
        </is>
      </c>
      <c r="B115" s="1" t="n">
        <v>44442</v>
      </c>
      <c r="C115" s="1" t="n">
        <v>45716</v>
      </c>
      <c r="D115" t="inlineStr">
        <is>
          <t>ÖREBRO LÄN</t>
        </is>
      </c>
      <c r="E115" t="inlineStr">
        <is>
          <t>LJUSNARSBERG</t>
        </is>
      </c>
      <c r="G115" t="n">
        <v>8.699999999999999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48744-2021</t>
        </is>
      </c>
      <c r="B116" s="1" t="n">
        <v>44452</v>
      </c>
      <c r="C116" s="1" t="n">
        <v>45716</v>
      </c>
      <c r="D116" t="inlineStr">
        <is>
          <t>ÖREBRO LÄN</t>
        </is>
      </c>
      <c r="E116" t="inlineStr">
        <is>
          <t>LJUSNARSBERG</t>
        </is>
      </c>
      <c r="F116" t="inlineStr">
        <is>
          <t>Bergvik skog väst AB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53395-2021</t>
        </is>
      </c>
      <c r="B117" s="1" t="n">
        <v>44468</v>
      </c>
      <c r="C117" s="1" t="n">
        <v>45716</v>
      </c>
      <c r="D117" t="inlineStr">
        <is>
          <t>ÖREBRO LÄN</t>
        </is>
      </c>
      <c r="E117" t="inlineStr">
        <is>
          <t>LJUSNARSBERG</t>
        </is>
      </c>
      <c r="F117" t="inlineStr">
        <is>
          <t>Bergvik skog väst AB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56713-2021</t>
        </is>
      </c>
      <c r="B118" s="1" t="n">
        <v>44481</v>
      </c>
      <c r="C118" s="1" t="n">
        <v>45716</v>
      </c>
      <c r="D118" t="inlineStr">
        <is>
          <t>ÖREBRO LÄN</t>
        </is>
      </c>
      <c r="E118" t="inlineStr">
        <is>
          <t>LJUSNARSBERG</t>
        </is>
      </c>
      <c r="G118" t="n">
        <v>1.6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57129-2021</t>
        </is>
      </c>
      <c r="B119" s="1" t="n">
        <v>44482</v>
      </c>
      <c r="C119" s="1" t="n">
        <v>45716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17.8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58668-2021</t>
        </is>
      </c>
      <c r="B120" s="1" t="n">
        <v>44489</v>
      </c>
      <c r="C120" s="1" t="n">
        <v>45716</v>
      </c>
      <c r="D120" t="inlineStr">
        <is>
          <t>ÖREBRO LÄN</t>
        </is>
      </c>
      <c r="E120" t="inlineStr">
        <is>
          <t>LJUSNARSBERG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59699-2021</t>
        </is>
      </c>
      <c r="B121" s="1" t="n">
        <v>44494</v>
      </c>
      <c r="C121" s="1" t="n">
        <v>45716</v>
      </c>
      <c r="D121" t="inlineStr">
        <is>
          <t>ÖREBRO LÄN</t>
        </is>
      </c>
      <c r="E121" t="inlineStr">
        <is>
          <t>LJUSNARSBERG</t>
        </is>
      </c>
      <c r="F121" t="inlineStr">
        <is>
          <t>Bergvik skog väst AB</t>
        </is>
      </c>
      <c r="G121" t="n">
        <v>1.4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62810-2021</t>
        </is>
      </c>
      <c r="B122" s="1" t="n">
        <v>44503</v>
      </c>
      <c r="C122" s="1" t="n">
        <v>45716</v>
      </c>
      <c r="D122" t="inlineStr">
        <is>
          <t>ÖREBRO LÄN</t>
        </is>
      </c>
      <c r="E122" t="inlineStr">
        <is>
          <t>LJUSNARSBERG</t>
        </is>
      </c>
      <c r="F122" t="inlineStr">
        <is>
          <t>Bergvik skog väst AB</t>
        </is>
      </c>
      <c r="G122" t="n">
        <v>5.7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62843-2021</t>
        </is>
      </c>
      <c r="B123" s="1" t="n">
        <v>44503</v>
      </c>
      <c r="C123" s="1" t="n">
        <v>45716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64400-2021</t>
        </is>
      </c>
      <c r="B124" s="1" t="n">
        <v>44511</v>
      </c>
      <c r="C124" s="1" t="n">
        <v>45716</v>
      </c>
      <c r="D124" t="inlineStr">
        <is>
          <t>ÖREBRO LÄN</t>
        </is>
      </c>
      <c r="E124" t="inlineStr">
        <is>
          <t>LJUSNARSBERG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64978-2021</t>
        </is>
      </c>
      <c r="B125" s="1" t="n">
        <v>44513</v>
      </c>
      <c r="C125" s="1" t="n">
        <v>45716</v>
      </c>
      <c r="D125" t="inlineStr">
        <is>
          <t>ÖREBRO LÄN</t>
        </is>
      </c>
      <c r="E125" t="inlineStr">
        <is>
          <t>LJUSNARSBERG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67197-2021</t>
        </is>
      </c>
      <c r="B126" s="1" t="n">
        <v>44523</v>
      </c>
      <c r="C126" s="1" t="n">
        <v>45716</v>
      </c>
      <c r="D126" t="inlineStr">
        <is>
          <t>ÖREBRO LÄN</t>
        </is>
      </c>
      <c r="E126" t="inlineStr">
        <is>
          <t>LJUSNARSBERG</t>
        </is>
      </c>
      <c r="F126" t="inlineStr">
        <is>
          <t>Kommuner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67746-2021</t>
        </is>
      </c>
      <c r="B127" s="1" t="n">
        <v>44524</v>
      </c>
      <c r="C127" s="1" t="n">
        <v>45716</v>
      </c>
      <c r="D127" t="inlineStr">
        <is>
          <t>ÖREBRO LÄN</t>
        </is>
      </c>
      <c r="E127" t="inlineStr">
        <is>
          <t>LJUSNARSBERG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70070-2021</t>
        </is>
      </c>
      <c r="B128" s="1" t="n">
        <v>44533</v>
      </c>
      <c r="C128" s="1" t="n">
        <v>45716</v>
      </c>
      <c r="D128" t="inlineStr">
        <is>
          <t>ÖREBRO LÄN</t>
        </is>
      </c>
      <c r="E128" t="inlineStr">
        <is>
          <t>LJUSNARSBERG</t>
        </is>
      </c>
      <c r="G128" t="n">
        <v>14.3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70005-2021</t>
        </is>
      </c>
      <c r="B129" s="1" t="n">
        <v>44533</v>
      </c>
      <c r="C129" s="1" t="n">
        <v>45716</v>
      </c>
      <c r="D129" t="inlineStr">
        <is>
          <t>ÖREBRO LÄN</t>
        </is>
      </c>
      <c r="E129" t="inlineStr">
        <is>
          <t>LJUSNARSBERG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72157-2021</t>
        </is>
      </c>
      <c r="B130" s="1" t="n">
        <v>44544</v>
      </c>
      <c r="C130" s="1" t="n">
        <v>45716</v>
      </c>
      <c r="D130" t="inlineStr">
        <is>
          <t>ÖREBRO LÄN</t>
        </is>
      </c>
      <c r="E130" t="inlineStr">
        <is>
          <t>LJUSNARSBERG</t>
        </is>
      </c>
      <c r="G130" t="n">
        <v>0.2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72881-2021</t>
        </is>
      </c>
      <c r="B131" s="1" t="n">
        <v>44547</v>
      </c>
      <c r="C131" s="1" t="n">
        <v>45716</v>
      </c>
      <c r="D131" t="inlineStr">
        <is>
          <t>ÖREBRO LÄN</t>
        </is>
      </c>
      <c r="E131" t="inlineStr">
        <is>
          <t>LJUSNARSBERG</t>
        </is>
      </c>
      <c r="G131" t="n">
        <v>20.6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289-2022</t>
        </is>
      </c>
      <c r="B132" s="1" t="n">
        <v>44564</v>
      </c>
      <c r="C132" s="1" t="n">
        <v>45716</v>
      </c>
      <c r="D132" t="inlineStr">
        <is>
          <t>ÖREBRO LÄN</t>
        </is>
      </c>
      <c r="E132" t="inlineStr">
        <is>
          <t>LJUSNARSBERG</t>
        </is>
      </c>
      <c r="F132" t="inlineStr">
        <is>
          <t>Bergvik skog väst AB</t>
        </is>
      </c>
      <c r="G132" t="n">
        <v>6.8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392-2022</t>
        </is>
      </c>
      <c r="B133" s="1" t="n">
        <v>44565</v>
      </c>
      <c r="C133" s="1" t="n">
        <v>45716</v>
      </c>
      <c r="D133" t="inlineStr">
        <is>
          <t>ÖREBRO LÄN</t>
        </is>
      </c>
      <c r="E133" t="inlineStr">
        <is>
          <t>LJUSNARSBERG</t>
        </is>
      </c>
      <c r="G133" t="n">
        <v>3.3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1303-2022</t>
        </is>
      </c>
      <c r="B134" s="1" t="n">
        <v>44572</v>
      </c>
      <c r="C134" s="1" t="n">
        <v>45716</v>
      </c>
      <c r="D134" t="inlineStr">
        <is>
          <t>ÖREBRO LÄN</t>
        </is>
      </c>
      <c r="E134" t="inlineStr">
        <is>
          <t>LJUSNARSBERG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1320-2022</t>
        </is>
      </c>
      <c r="B135" s="1" t="n">
        <v>44572</v>
      </c>
      <c r="C135" s="1" t="n">
        <v>45716</v>
      </c>
      <c r="D135" t="inlineStr">
        <is>
          <t>ÖREBRO LÄN</t>
        </is>
      </c>
      <c r="E135" t="inlineStr">
        <is>
          <t>LJUSNARSBERG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5636-2022</t>
        </is>
      </c>
      <c r="B136" s="1" t="n">
        <v>44595</v>
      </c>
      <c r="C136" s="1" t="n">
        <v>45716</v>
      </c>
      <c r="D136" t="inlineStr">
        <is>
          <t>ÖREBRO LÄN</t>
        </is>
      </c>
      <c r="E136" t="inlineStr">
        <is>
          <t>LJUSNARSBERG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7903-2022</t>
        </is>
      </c>
      <c r="B137" s="1" t="n">
        <v>44607</v>
      </c>
      <c r="C137" s="1" t="n">
        <v>45716</v>
      </c>
      <c r="D137" t="inlineStr">
        <is>
          <t>ÖREBRO LÄN</t>
        </is>
      </c>
      <c r="E137" t="inlineStr">
        <is>
          <t>LJUSNARSBERG</t>
        </is>
      </c>
      <c r="F137" t="inlineStr">
        <is>
          <t>Kyrkan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7995-2022</t>
        </is>
      </c>
      <c r="B138" s="1" t="n">
        <v>44608</v>
      </c>
      <c r="C138" s="1" t="n">
        <v>45716</v>
      </c>
      <c r="D138" t="inlineStr">
        <is>
          <t>ÖREBRO LÄN</t>
        </is>
      </c>
      <c r="E138" t="inlineStr">
        <is>
          <t>LJUSNARSBERG</t>
        </is>
      </c>
      <c r="G138" t="n">
        <v>5.9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9461-2022</t>
        </is>
      </c>
      <c r="B139" s="1" t="n">
        <v>44616</v>
      </c>
      <c r="C139" s="1" t="n">
        <v>45716</v>
      </c>
      <c r="D139" t="inlineStr">
        <is>
          <t>ÖREBRO LÄN</t>
        </is>
      </c>
      <c r="E139" t="inlineStr">
        <is>
          <t>LJUSNARSBERG</t>
        </is>
      </c>
      <c r="G139" t="n">
        <v>17.3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14011-2022</t>
        </is>
      </c>
      <c r="B140" s="1" t="n">
        <v>44650</v>
      </c>
      <c r="C140" s="1" t="n">
        <v>45716</v>
      </c>
      <c r="D140" t="inlineStr">
        <is>
          <t>ÖREBRO LÄN</t>
        </is>
      </c>
      <c r="E140" t="inlineStr">
        <is>
          <t>LJUSNARSBERG</t>
        </is>
      </c>
      <c r="G140" t="n">
        <v>7.9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18357-2022</t>
        </is>
      </c>
      <c r="B141" s="1" t="n">
        <v>44685</v>
      </c>
      <c r="C141" s="1" t="n">
        <v>45716</v>
      </c>
      <c r="D141" t="inlineStr">
        <is>
          <t>ÖREBRO LÄN</t>
        </is>
      </c>
      <c r="E141" t="inlineStr">
        <is>
          <t>LJUSNARSBERG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18933-2022</t>
        </is>
      </c>
      <c r="B142" s="1" t="n">
        <v>44690</v>
      </c>
      <c r="C142" s="1" t="n">
        <v>45716</v>
      </c>
      <c r="D142" t="inlineStr">
        <is>
          <t>ÖREBRO LÄN</t>
        </is>
      </c>
      <c r="E142" t="inlineStr">
        <is>
          <t>LJUSNARSBERG</t>
        </is>
      </c>
      <c r="F142" t="inlineStr">
        <is>
          <t>Bergvik skog väst AB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18932-2022</t>
        </is>
      </c>
      <c r="B143" s="1" t="n">
        <v>44690</v>
      </c>
      <c r="C143" s="1" t="n">
        <v>45716</v>
      </c>
      <c r="D143" t="inlineStr">
        <is>
          <t>ÖREBRO LÄN</t>
        </is>
      </c>
      <c r="E143" t="inlineStr">
        <is>
          <t>LJUSNARSBERG</t>
        </is>
      </c>
      <c r="F143" t="inlineStr">
        <is>
          <t>Bergvik skog väst AB</t>
        </is>
      </c>
      <c r="G143" t="n">
        <v>4.2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18938-2022</t>
        </is>
      </c>
      <c r="B144" s="1" t="n">
        <v>44690</v>
      </c>
      <c r="C144" s="1" t="n">
        <v>45716</v>
      </c>
      <c r="D144" t="inlineStr">
        <is>
          <t>ÖREBRO LÄN</t>
        </is>
      </c>
      <c r="E144" t="inlineStr">
        <is>
          <t>LJUSNARSBERG</t>
        </is>
      </c>
      <c r="F144" t="inlineStr">
        <is>
          <t>Bergvik skog väst AB</t>
        </is>
      </c>
      <c r="G144" t="n">
        <v>1.4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18945-2022</t>
        </is>
      </c>
      <c r="B145" s="1" t="n">
        <v>44690</v>
      </c>
      <c r="C145" s="1" t="n">
        <v>45716</v>
      </c>
      <c r="D145" t="inlineStr">
        <is>
          <t>ÖREBRO LÄN</t>
        </is>
      </c>
      <c r="E145" t="inlineStr">
        <is>
          <t>LJUSNARSBERG</t>
        </is>
      </c>
      <c r="F145" t="inlineStr">
        <is>
          <t>Bergvik skog väst AB</t>
        </is>
      </c>
      <c r="G145" t="n">
        <v>6.5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18952-2022</t>
        </is>
      </c>
      <c r="B146" s="1" t="n">
        <v>44690</v>
      </c>
      <c r="C146" s="1" t="n">
        <v>45716</v>
      </c>
      <c r="D146" t="inlineStr">
        <is>
          <t>ÖREBRO LÄN</t>
        </is>
      </c>
      <c r="E146" t="inlineStr">
        <is>
          <t>LJUSNARSBERG</t>
        </is>
      </c>
      <c r="F146" t="inlineStr">
        <is>
          <t>Bergvik skog väst AB</t>
        </is>
      </c>
      <c r="G146" t="n">
        <v>14.9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35976-2022</t>
        </is>
      </c>
      <c r="B147" s="1" t="n">
        <v>44690</v>
      </c>
      <c r="C147" s="1" t="n">
        <v>45716</v>
      </c>
      <c r="D147" t="inlineStr">
        <is>
          <t>ÖREBRO LÄN</t>
        </is>
      </c>
      <c r="E147" t="inlineStr">
        <is>
          <t>LJUSNARSBERG</t>
        </is>
      </c>
      <c r="F147" t="inlineStr">
        <is>
          <t>Bergvik skog väst AB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19254-2022</t>
        </is>
      </c>
      <c r="B148" s="1" t="n">
        <v>44692</v>
      </c>
      <c r="C148" s="1" t="n">
        <v>45716</v>
      </c>
      <c r="D148" t="inlineStr">
        <is>
          <t>ÖREBRO LÄN</t>
        </is>
      </c>
      <c r="E148" t="inlineStr">
        <is>
          <t>LJUSNARSBERG</t>
        </is>
      </c>
      <c r="F148" t="inlineStr">
        <is>
          <t>Bergvik skog väst AB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19859-2022</t>
        </is>
      </c>
      <c r="B149" s="1" t="n">
        <v>44694</v>
      </c>
      <c r="C149" s="1" t="n">
        <v>45716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11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19857-2022</t>
        </is>
      </c>
      <c r="B150" s="1" t="n">
        <v>44694</v>
      </c>
      <c r="C150" s="1" t="n">
        <v>45716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20797-2022</t>
        </is>
      </c>
      <c r="B151" s="1" t="n">
        <v>44701</v>
      </c>
      <c r="C151" s="1" t="n">
        <v>45716</v>
      </c>
      <c r="D151" t="inlineStr">
        <is>
          <t>ÖREBRO LÄN</t>
        </is>
      </c>
      <c r="E151" t="inlineStr">
        <is>
          <t>LJUSNARSBERG</t>
        </is>
      </c>
      <c r="F151" t="inlineStr">
        <is>
          <t>Bergvik skog väst AB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21746-2022</t>
        </is>
      </c>
      <c r="B152" s="1" t="n">
        <v>44708</v>
      </c>
      <c r="C152" s="1" t="n">
        <v>45716</v>
      </c>
      <c r="D152" t="inlineStr">
        <is>
          <t>ÖREBRO LÄN</t>
        </is>
      </c>
      <c r="E152" t="inlineStr">
        <is>
          <t>LJUSNARSBERG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22878-2022</t>
        </is>
      </c>
      <c r="B153" s="1" t="n">
        <v>44715</v>
      </c>
      <c r="C153" s="1" t="n">
        <v>45716</v>
      </c>
      <c r="D153" t="inlineStr">
        <is>
          <t>ÖREBRO LÄN</t>
        </is>
      </c>
      <c r="E153" t="inlineStr">
        <is>
          <t>LJUSNARSBERG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22871-2022</t>
        </is>
      </c>
      <c r="B154" s="1" t="n">
        <v>44715</v>
      </c>
      <c r="C154" s="1" t="n">
        <v>45716</v>
      </c>
      <c r="D154" t="inlineStr">
        <is>
          <t>ÖREBRO LÄN</t>
        </is>
      </c>
      <c r="E154" t="inlineStr">
        <is>
          <t>LJUSNARSBERG</t>
        </is>
      </c>
      <c r="G154" t="n">
        <v>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23346-2022</t>
        </is>
      </c>
      <c r="B155" s="1" t="n">
        <v>44720</v>
      </c>
      <c r="C155" s="1" t="n">
        <v>45716</v>
      </c>
      <c r="D155" t="inlineStr">
        <is>
          <t>ÖREBRO LÄN</t>
        </is>
      </c>
      <c r="E155" t="inlineStr">
        <is>
          <t>LJUSNARSBERG</t>
        </is>
      </c>
      <c r="F155" t="inlineStr">
        <is>
          <t>Bergvik skog väst AB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23372-2022</t>
        </is>
      </c>
      <c r="B156" s="1" t="n">
        <v>44720</v>
      </c>
      <c r="C156" s="1" t="n">
        <v>45716</v>
      </c>
      <c r="D156" t="inlineStr">
        <is>
          <t>ÖREBRO LÄN</t>
        </is>
      </c>
      <c r="E156" t="inlineStr">
        <is>
          <t>LJUSNARSBERG</t>
        </is>
      </c>
      <c r="F156" t="inlineStr">
        <is>
          <t>Bergvik skog väst AB</t>
        </is>
      </c>
      <c r="G156" t="n">
        <v>11.2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23380-2022</t>
        </is>
      </c>
      <c r="B157" s="1" t="n">
        <v>44720</v>
      </c>
      <c r="C157" s="1" t="n">
        <v>45716</v>
      </c>
      <c r="D157" t="inlineStr">
        <is>
          <t>ÖREBRO LÄN</t>
        </is>
      </c>
      <c r="E157" t="inlineStr">
        <is>
          <t>LJUSNARSBERG</t>
        </is>
      </c>
      <c r="F157" t="inlineStr">
        <is>
          <t>Bergvik skog väst AB</t>
        </is>
      </c>
      <c r="G157" t="n">
        <v>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24194-2022</t>
        </is>
      </c>
      <c r="B158" s="1" t="n">
        <v>44725</v>
      </c>
      <c r="C158" s="1" t="n">
        <v>45716</v>
      </c>
      <c r="D158" t="inlineStr">
        <is>
          <t>ÖREBRO LÄN</t>
        </is>
      </c>
      <c r="E158" t="inlineStr">
        <is>
          <t>LJUSNARSBERG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25773-2022</t>
        </is>
      </c>
      <c r="B159" s="1" t="n">
        <v>44733</v>
      </c>
      <c r="C159" s="1" t="n">
        <v>45716</v>
      </c>
      <c r="D159" t="inlineStr">
        <is>
          <t>ÖREBRO LÄN</t>
        </is>
      </c>
      <c r="E159" t="inlineStr">
        <is>
          <t>LJUSNARSBERG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26167-2022</t>
        </is>
      </c>
      <c r="B160" s="1" t="n">
        <v>44734</v>
      </c>
      <c r="C160" s="1" t="n">
        <v>45716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2.7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26165-2022</t>
        </is>
      </c>
      <c r="B161" s="1" t="n">
        <v>44734</v>
      </c>
      <c r="C161" s="1" t="n">
        <v>45716</v>
      </c>
      <c r="D161" t="inlineStr">
        <is>
          <t>ÖREBRO LÄN</t>
        </is>
      </c>
      <c r="E161" t="inlineStr">
        <is>
          <t>LJUSNARSBERG</t>
        </is>
      </c>
      <c r="F161" t="inlineStr">
        <is>
          <t>Bergvik skog väst AB</t>
        </is>
      </c>
      <c r="G161" t="n">
        <v>2.3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26617-2022</t>
        </is>
      </c>
      <c r="B162" s="1" t="n">
        <v>44739</v>
      </c>
      <c r="C162" s="1" t="n">
        <v>45716</v>
      </c>
      <c r="D162" t="inlineStr">
        <is>
          <t>ÖREBRO LÄN</t>
        </is>
      </c>
      <c r="E162" t="inlineStr">
        <is>
          <t>LJUSNARSBERG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31858-2022</t>
        </is>
      </c>
      <c r="B163" s="1" t="n">
        <v>44777</v>
      </c>
      <c r="C163" s="1" t="n">
        <v>45716</v>
      </c>
      <c r="D163" t="inlineStr">
        <is>
          <t>ÖREBRO LÄN</t>
        </is>
      </c>
      <c r="E163" t="inlineStr">
        <is>
          <t>LJUSNARSBERG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31998-2022</t>
        </is>
      </c>
      <c r="B164" s="1" t="n">
        <v>44778</v>
      </c>
      <c r="C164" s="1" t="n">
        <v>45716</v>
      </c>
      <c r="D164" t="inlineStr">
        <is>
          <t>ÖREBRO LÄN</t>
        </is>
      </c>
      <c r="E164" t="inlineStr">
        <is>
          <t>LJUSNARSBERG</t>
        </is>
      </c>
      <c r="G164" t="n">
        <v>0.3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32309-2022</t>
        </is>
      </c>
      <c r="B165" s="1" t="n">
        <v>44781</v>
      </c>
      <c r="C165" s="1" t="n">
        <v>45716</v>
      </c>
      <c r="D165" t="inlineStr">
        <is>
          <t>ÖREBRO LÄN</t>
        </is>
      </c>
      <c r="E165" t="inlineStr">
        <is>
          <t>LJUSNARSBERG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32300-2022</t>
        </is>
      </c>
      <c r="B166" s="1" t="n">
        <v>44781</v>
      </c>
      <c r="C166" s="1" t="n">
        <v>45716</v>
      </c>
      <c r="D166" t="inlineStr">
        <is>
          <t>ÖREBRO LÄN</t>
        </is>
      </c>
      <c r="E166" t="inlineStr">
        <is>
          <t>LJUSNARSBERG</t>
        </is>
      </c>
      <c r="G166" t="n">
        <v>10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33858-2022</t>
        </is>
      </c>
      <c r="B167" s="1" t="n">
        <v>44790</v>
      </c>
      <c r="C167" s="1" t="n">
        <v>45716</v>
      </c>
      <c r="D167" t="inlineStr">
        <is>
          <t>ÖREBRO LÄN</t>
        </is>
      </c>
      <c r="E167" t="inlineStr">
        <is>
          <t>LJUSNARSBERG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33861-2022</t>
        </is>
      </c>
      <c r="B168" s="1" t="n">
        <v>44790</v>
      </c>
      <c r="C168" s="1" t="n">
        <v>45716</v>
      </c>
      <c r="D168" t="inlineStr">
        <is>
          <t>ÖREBRO LÄN</t>
        </is>
      </c>
      <c r="E168" t="inlineStr">
        <is>
          <t>LJUSNARSBERG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35838-2022</t>
        </is>
      </c>
      <c r="B169" s="1" t="n">
        <v>44802</v>
      </c>
      <c r="C169" s="1" t="n">
        <v>45716</v>
      </c>
      <c r="D169" t="inlineStr">
        <is>
          <t>ÖREBRO LÄN</t>
        </is>
      </c>
      <c r="E169" t="inlineStr">
        <is>
          <t>LJUSNARSBERG</t>
        </is>
      </c>
      <c r="G169" t="n">
        <v>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36295-2022</t>
        </is>
      </c>
      <c r="B170" s="1" t="n">
        <v>44803</v>
      </c>
      <c r="C170" s="1" t="n">
        <v>45716</v>
      </c>
      <c r="D170" t="inlineStr">
        <is>
          <t>ÖREBRO LÄN</t>
        </is>
      </c>
      <c r="E170" t="inlineStr">
        <is>
          <t>LJUSNARSBERG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38276-2022</t>
        </is>
      </c>
      <c r="B171" s="1" t="n">
        <v>44812</v>
      </c>
      <c r="C171" s="1" t="n">
        <v>45716</v>
      </c>
      <c r="D171" t="inlineStr">
        <is>
          <t>ÖREBRO LÄN</t>
        </is>
      </c>
      <c r="E171" t="inlineStr">
        <is>
          <t>LJUSNARSBERG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38277-2022</t>
        </is>
      </c>
      <c r="B172" s="1" t="n">
        <v>44812</v>
      </c>
      <c r="C172" s="1" t="n">
        <v>45716</v>
      </c>
      <c r="D172" t="inlineStr">
        <is>
          <t>ÖREBRO LÄN</t>
        </is>
      </c>
      <c r="E172" t="inlineStr">
        <is>
          <t>LJUSNARSBERG</t>
        </is>
      </c>
      <c r="G172" t="n">
        <v>5.1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39095-2022</t>
        </is>
      </c>
      <c r="B173" s="1" t="n">
        <v>44817</v>
      </c>
      <c r="C173" s="1" t="n">
        <v>45716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4.8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40237-2022</t>
        </is>
      </c>
      <c r="B174" s="1" t="n">
        <v>44820</v>
      </c>
      <c r="C174" s="1" t="n">
        <v>45716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40347-2022</t>
        </is>
      </c>
      <c r="B175" s="1" t="n">
        <v>44823</v>
      </c>
      <c r="C175" s="1" t="n">
        <v>45716</v>
      </c>
      <c r="D175" t="inlineStr">
        <is>
          <t>ÖREBRO LÄN</t>
        </is>
      </c>
      <c r="E175" t="inlineStr">
        <is>
          <t>LJUSNARSBERG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43208-2022</t>
        </is>
      </c>
      <c r="B176" s="1" t="n">
        <v>44834</v>
      </c>
      <c r="C176" s="1" t="n">
        <v>45716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21.2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44591-2022</t>
        </is>
      </c>
      <c r="B177" s="1" t="n">
        <v>44838</v>
      </c>
      <c r="C177" s="1" t="n">
        <v>45716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9.9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44163-2022</t>
        </is>
      </c>
      <c r="B178" s="1" t="n">
        <v>44839</v>
      </c>
      <c r="C178" s="1" t="n">
        <v>45716</v>
      </c>
      <c r="D178" t="inlineStr">
        <is>
          <t>ÖREBRO LÄN</t>
        </is>
      </c>
      <c r="E178" t="inlineStr">
        <is>
          <t>LJUSNARSBERG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46146-2022</t>
        </is>
      </c>
      <c r="B179" s="1" t="n">
        <v>44847</v>
      </c>
      <c r="C179" s="1" t="n">
        <v>45716</v>
      </c>
      <c r="D179" t="inlineStr">
        <is>
          <t>ÖREBRO LÄN</t>
        </is>
      </c>
      <c r="E179" t="inlineStr">
        <is>
          <t>LJUSNARSBERG</t>
        </is>
      </c>
      <c r="F179" t="inlineStr">
        <is>
          <t>Bergvik skog väst AB</t>
        </is>
      </c>
      <c r="G179" t="n">
        <v>5.7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48353-2022</t>
        </is>
      </c>
      <c r="B180" s="1" t="n">
        <v>44858</v>
      </c>
      <c r="C180" s="1" t="n">
        <v>45716</v>
      </c>
      <c r="D180" t="inlineStr">
        <is>
          <t>ÖREBRO LÄN</t>
        </is>
      </c>
      <c r="E180" t="inlineStr">
        <is>
          <t>LJUSNARSBERG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49580-2022</t>
        </is>
      </c>
      <c r="B181" s="1" t="n">
        <v>44859</v>
      </c>
      <c r="C181" s="1" t="n">
        <v>45716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11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50552-2022</t>
        </is>
      </c>
      <c r="B182" s="1" t="n">
        <v>44866</v>
      </c>
      <c r="C182" s="1" t="n">
        <v>45716</v>
      </c>
      <c r="D182" t="inlineStr">
        <is>
          <t>ÖREBRO LÄN</t>
        </is>
      </c>
      <c r="E182" t="inlineStr">
        <is>
          <t>LJUSNARSBERG</t>
        </is>
      </c>
      <c r="G182" t="n">
        <v>0.7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52561-2022</t>
        </is>
      </c>
      <c r="B183" s="1" t="n">
        <v>44874</v>
      </c>
      <c r="C183" s="1" t="n">
        <v>45716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7.4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52489-2022</t>
        </is>
      </c>
      <c r="B184" s="1" t="n">
        <v>44874</v>
      </c>
      <c r="C184" s="1" t="n">
        <v>45716</v>
      </c>
      <c r="D184" t="inlineStr">
        <is>
          <t>ÖREBRO LÄN</t>
        </is>
      </c>
      <c r="E184" t="inlineStr">
        <is>
          <t>LJUSNARSBERG</t>
        </is>
      </c>
      <c r="F184" t="inlineStr">
        <is>
          <t>Bergvik skog väst AB</t>
        </is>
      </c>
      <c r="G184" t="n">
        <v>3.2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52810-2022</t>
        </is>
      </c>
      <c r="B185" s="1" t="n">
        <v>44875</v>
      </c>
      <c r="C185" s="1" t="n">
        <v>45716</v>
      </c>
      <c r="D185" t="inlineStr">
        <is>
          <t>ÖREBRO LÄN</t>
        </is>
      </c>
      <c r="E185" t="inlineStr">
        <is>
          <t>LJUSNARSBERG</t>
        </is>
      </c>
      <c r="G185" t="n">
        <v>4.5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53789-2022</t>
        </is>
      </c>
      <c r="B186" s="1" t="n">
        <v>44880</v>
      </c>
      <c r="C186" s="1" t="n">
        <v>45716</v>
      </c>
      <c r="D186" t="inlineStr">
        <is>
          <t>ÖREBRO LÄN</t>
        </is>
      </c>
      <c r="E186" t="inlineStr">
        <is>
          <t>LJUSNARSBERG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57075-2022</t>
        </is>
      </c>
      <c r="B187" s="1" t="n">
        <v>44895</v>
      </c>
      <c r="C187" s="1" t="n">
        <v>45716</v>
      </c>
      <c r="D187" t="inlineStr">
        <is>
          <t>ÖREBRO LÄN</t>
        </is>
      </c>
      <c r="E187" t="inlineStr">
        <is>
          <t>LJUSNARSBERG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57090-2022</t>
        </is>
      </c>
      <c r="B188" s="1" t="n">
        <v>44895</v>
      </c>
      <c r="C188" s="1" t="n">
        <v>45716</v>
      </c>
      <c r="D188" t="inlineStr">
        <is>
          <t>ÖREBRO LÄN</t>
        </is>
      </c>
      <c r="E188" t="inlineStr">
        <is>
          <t>LJUSNARSBERG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57313-2022</t>
        </is>
      </c>
      <c r="B189" s="1" t="n">
        <v>44896</v>
      </c>
      <c r="C189" s="1" t="n">
        <v>45716</v>
      </c>
      <c r="D189" t="inlineStr">
        <is>
          <t>ÖREBRO LÄN</t>
        </is>
      </c>
      <c r="E189" t="inlineStr">
        <is>
          <t>LJUSNARSBERG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58823-2022</t>
        </is>
      </c>
      <c r="B190" s="1" t="n">
        <v>44903</v>
      </c>
      <c r="C190" s="1" t="n">
        <v>45716</v>
      </c>
      <c r="D190" t="inlineStr">
        <is>
          <t>ÖREBRO LÄN</t>
        </is>
      </c>
      <c r="E190" t="inlineStr">
        <is>
          <t>LJUSNARSBERG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61551-2022</t>
        </is>
      </c>
      <c r="B191" s="1" t="n">
        <v>44916</v>
      </c>
      <c r="C191" s="1" t="n">
        <v>45716</v>
      </c>
      <c r="D191" t="inlineStr">
        <is>
          <t>ÖREBRO LÄN</t>
        </is>
      </c>
      <c r="E191" t="inlineStr">
        <is>
          <t>LJUSNARSBERG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62415-2022</t>
        </is>
      </c>
      <c r="B192" s="1" t="n">
        <v>44916</v>
      </c>
      <c r="C192" s="1" t="n">
        <v>45716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25.2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62421-2022</t>
        </is>
      </c>
      <c r="B193" s="1" t="n">
        <v>44916</v>
      </c>
      <c r="C193" s="1" t="n">
        <v>45716</v>
      </c>
      <c r="D193" t="inlineStr">
        <is>
          <t>ÖREBRO LÄN</t>
        </is>
      </c>
      <c r="E193" t="inlineStr">
        <is>
          <t>LJUSNARSBERG</t>
        </is>
      </c>
      <c r="F193" t="inlineStr">
        <is>
          <t>Bergvik skog väst AB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62424-2022</t>
        </is>
      </c>
      <c r="B194" s="1" t="n">
        <v>44916</v>
      </c>
      <c r="C194" s="1" t="n">
        <v>45716</v>
      </c>
      <c r="D194" t="inlineStr">
        <is>
          <t>ÖREBRO LÄN</t>
        </is>
      </c>
      <c r="E194" t="inlineStr">
        <is>
          <t>LJUSNARSBERG</t>
        </is>
      </c>
      <c r="F194" t="inlineStr">
        <is>
          <t>Bergvik skog väst AB</t>
        </is>
      </c>
      <c r="G194" t="n">
        <v>3.7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62667-2022</t>
        </is>
      </c>
      <c r="B195" s="1" t="n">
        <v>44917</v>
      </c>
      <c r="C195" s="1" t="n">
        <v>45716</v>
      </c>
      <c r="D195" t="inlineStr">
        <is>
          <t>ÖREBRO LÄN</t>
        </is>
      </c>
      <c r="E195" t="inlineStr">
        <is>
          <t>LJUSNARSBERG</t>
        </is>
      </c>
      <c r="F195" t="inlineStr">
        <is>
          <t>Bergvik skog väst AB</t>
        </is>
      </c>
      <c r="G195" t="n">
        <v>7.1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62677-2022</t>
        </is>
      </c>
      <c r="B196" s="1" t="n">
        <v>44917</v>
      </c>
      <c r="C196" s="1" t="n">
        <v>45716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10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62679-2022</t>
        </is>
      </c>
      <c r="B197" s="1" t="n">
        <v>44917</v>
      </c>
      <c r="C197" s="1" t="n">
        <v>45716</v>
      </c>
      <c r="D197" t="inlineStr">
        <is>
          <t>ÖREBRO LÄN</t>
        </is>
      </c>
      <c r="E197" t="inlineStr">
        <is>
          <t>LJUSNARSBERG</t>
        </is>
      </c>
      <c r="F197" t="inlineStr">
        <is>
          <t>Bergvik skog väst AB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189-2023</t>
        </is>
      </c>
      <c r="B198" s="1" t="n">
        <v>44928</v>
      </c>
      <c r="C198" s="1" t="n">
        <v>45716</v>
      </c>
      <c r="D198" t="inlineStr">
        <is>
          <t>ÖREBRO LÄN</t>
        </is>
      </c>
      <c r="E198" t="inlineStr">
        <is>
          <t>LJUSNARSBERG</t>
        </is>
      </c>
      <c r="G198" t="n">
        <v>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1683-2023</t>
        </is>
      </c>
      <c r="B199" s="1" t="n">
        <v>44938</v>
      </c>
      <c r="C199" s="1" t="n">
        <v>45716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14.7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2607-2023</t>
        </is>
      </c>
      <c r="B200" s="1" t="n">
        <v>44939</v>
      </c>
      <c r="C200" s="1" t="n">
        <v>45716</v>
      </c>
      <c r="D200" t="inlineStr">
        <is>
          <t>ÖREBRO LÄN</t>
        </is>
      </c>
      <c r="E200" t="inlineStr">
        <is>
          <t>LJUSNARSBERG</t>
        </is>
      </c>
      <c r="G200" t="n">
        <v>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4989-2023</t>
        </is>
      </c>
      <c r="B201" s="1" t="n">
        <v>44956</v>
      </c>
      <c r="C201" s="1" t="n">
        <v>45716</v>
      </c>
      <c r="D201" t="inlineStr">
        <is>
          <t>ÖREBRO LÄN</t>
        </is>
      </c>
      <c r="E201" t="inlineStr">
        <is>
          <t>LJUSNARSBERG</t>
        </is>
      </c>
      <c r="F201" t="inlineStr">
        <is>
          <t>Bergvik skog väst AB</t>
        </is>
      </c>
      <c r="G201" t="n">
        <v>5.4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10111-2023</t>
        </is>
      </c>
      <c r="B202" s="1" t="n">
        <v>44986</v>
      </c>
      <c r="C202" s="1" t="n">
        <v>45716</v>
      </c>
      <c r="D202" t="inlineStr">
        <is>
          <t>ÖREBRO LÄN</t>
        </is>
      </c>
      <c r="E202" t="inlineStr">
        <is>
          <t>LJUSNARSBERG</t>
        </is>
      </c>
      <c r="G202" t="n">
        <v>4.2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12482-2023</t>
        </is>
      </c>
      <c r="B203" s="1" t="n">
        <v>44999</v>
      </c>
      <c r="C203" s="1" t="n">
        <v>45716</v>
      </c>
      <c r="D203" t="inlineStr">
        <is>
          <t>ÖREBRO LÄN</t>
        </is>
      </c>
      <c r="E203" t="inlineStr">
        <is>
          <t>LJUSNARSBERG</t>
        </is>
      </c>
      <c r="G203" t="n">
        <v>6.1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12489-2023</t>
        </is>
      </c>
      <c r="B204" s="1" t="n">
        <v>44999</v>
      </c>
      <c r="C204" s="1" t="n">
        <v>45716</v>
      </c>
      <c r="D204" t="inlineStr">
        <is>
          <t>ÖREBRO LÄN</t>
        </is>
      </c>
      <c r="E204" t="inlineStr">
        <is>
          <t>LJUSNARSBERG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12486-2023</t>
        </is>
      </c>
      <c r="B205" s="1" t="n">
        <v>44999</v>
      </c>
      <c r="C205" s="1" t="n">
        <v>45716</v>
      </c>
      <c r="D205" t="inlineStr">
        <is>
          <t>ÖREBRO LÄN</t>
        </is>
      </c>
      <c r="E205" t="inlineStr">
        <is>
          <t>LJUSNARSBERG</t>
        </is>
      </c>
      <c r="G205" t="n">
        <v>5.4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12492-2023</t>
        </is>
      </c>
      <c r="B206" s="1" t="n">
        <v>44999</v>
      </c>
      <c r="C206" s="1" t="n">
        <v>45716</v>
      </c>
      <c r="D206" t="inlineStr">
        <is>
          <t>ÖREBRO LÄN</t>
        </is>
      </c>
      <c r="E206" t="inlineStr">
        <is>
          <t>LJUSNARSBERG</t>
        </is>
      </c>
      <c r="G206" t="n">
        <v>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12581-2023</t>
        </is>
      </c>
      <c r="B207" s="1" t="n">
        <v>45000</v>
      </c>
      <c r="C207" s="1" t="n">
        <v>45716</v>
      </c>
      <c r="D207" t="inlineStr">
        <is>
          <t>ÖREBRO LÄN</t>
        </is>
      </c>
      <c r="E207" t="inlineStr">
        <is>
          <t>LJUSNARSBERG</t>
        </is>
      </c>
      <c r="G207" t="n">
        <v>2.8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12775-2023</t>
        </is>
      </c>
      <c r="B208" s="1" t="n">
        <v>45000</v>
      </c>
      <c r="C208" s="1" t="n">
        <v>45716</v>
      </c>
      <c r="D208" t="inlineStr">
        <is>
          <t>ÖREBRO LÄN</t>
        </is>
      </c>
      <c r="E208" t="inlineStr">
        <is>
          <t>LJUSNARSBERG</t>
        </is>
      </c>
      <c r="G208" t="n">
        <v>8.199999999999999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13227-2023</t>
        </is>
      </c>
      <c r="B209" s="1" t="n">
        <v>45002</v>
      </c>
      <c r="C209" s="1" t="n">
        <v>45716</v>
      </c>
      <c r="D209" t="inlineStr">
        <is>
          <t>ÖREBRO LÄN</t>
        </is>
      </c>
      <c r="E209" t="inlineStr">
        <is>
          <t>LJUSNARSBERG</t>
        </is>
      </c>
      <c r="G209" t="n">
        <v>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14973-2023</t>
        </is>
      </c>
      <c r="B210" s="1" t="n">
        <v>45015</v>
      </c>
      <c r="C210" s="1" t="n">
        <v>45716</v>
      </c>
      <c r="D210" t="inlineStr">
        <is>
          <t>ÖREBRO LÄN</t>
        </is>
      </c>
      <c r="E210" t="inlineStr">
        <is>
          <t>LJUSNARSBERG</t>
        </is>
      </c>
      <c r="G210" t="n">
        <v>7.6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14974-2023</t>
        </is>
      </c>
      <c r="B211" s="1" t="n">
        <v>45015</v>
      </c>
      <c r="C211" s="1" t="n">
        <v>45716</v>
      </c>
      <c r="D211" t="inlineStr">
        <is>
          <t>ÖREBRO LÄN</t>
        </is>
      </c>
      <c r="E211" t="inlineStr">
        <is>
          <t>LJUSNARSBERG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16612-2023</t>
        </is>
      </c>
      <c r="B212" s="1" t="n">
        <v>45030</v>
      </c>
      <c r="C212" s="1" t="n">
        <v>45716</v>
      </c>
      <c r="D212" t="inlineStr">
        <is>
          <t>ÖREBRO LÄN</t>
        </is>
      </c>
      <c r="E212" t="inlineStr">
        <is>
          <t>LJUSNARSBERG</t>
        </is>
      </c>
      <c r="F212" t="inlineStr">
        <is>
          <t>Sveaskog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16635-2023</t>
        </is>
      </c>
      <c r="B213" s="1" t="n">
        <v>45030</v>
      </c>
      <c r="C213" s="1" t="n">
        <v>45716</v>
      </c>
      <c r="D213" t="inlineStr">
        <is>
          <t>ÖREBRO LÄN</t>
        </is>
      </c>
      <c r="E213" t="inlineStr">
        <is>
          <t>LJUSNARSBERG</t>
        </is>
      </c>
      <c r="F213" t="inlineStr">
        <is>
          <t>Sveaskog</t>
        </is>
      </c>
      <c r="G213" t="n">
        <v>1.9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16613-2023</t>
        </is>
      </c>
      <c r="B214" s="1" t="n">
        <v>45030</v>
      </c>
      <c r="C214" s="1" t="n">
        <v>45716</v>
      </c>
      <c r="D214" t="inlineStr">
        <is>
          <t>ÖREBRO LÄN</t>
        </is>
      </c>
      <c r="E214" t="inlineStr">
        <is>
          <t>LJUSNARSBERG</t>
        </is>
      </c>
      <c r="F214" t="inlineStr">
        <is>
          <t>Sveaskog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16621-2023</t>
        </is>
      </c>
      <c r="B215" s="1" t="n">
        <v>45030</v>
      </c>
      <c r="C215" s="1" t="n">
        <v>45716</v>
      </c>
      <c r="D215" t="inlineStr">
        <is>
          <t>ÖREBRO LÄN</t>
        </is>
      </c>
      <c r="E215" t="inlineStr">
        <is>
          <t>LJUSNARSBERG</t>
        </is>
      </c>
      <c r="F215" t="inlineStr">
        <is>
          <t>Sveaskog</t>
        </is>
      </c>
      <c r="G215" t="n">
        <v>3.2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17276-2023</t>
        </is>
      </c>
      <c r="B216" s="1" t="n">
        <v>45035</v>
      </c>
      <c r="C216" s="1" t="n">
        <v>45716</v>
      </c>
      <c r="D216" t="inlineStr">
        <is>
          <t>ÖREBRO LÄN</t>
        </is>
      </c>
      <c r="E216" t="inlineStr">
        <is>
          <t>LJUSNARSBERG</t>
        </is>
      </c>
      <c r="G216" t="n">
        <v>2.8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17724-2023</t>
        </is>
      </c>
      <c r="B217" s="1" t="n">
        <v>45037</v>
      </c>
      <c r="C217" s="1" t="n">
        <v>45716</v>
      </c>
      <c r="D217" t="inlineStr">
        <is>
          <t>ÖREBRO LÄN</t>
        </is>
      </c>
      <c r="E217" t="inlineStr">
        <is>
          <t>LJUSNARSBERG</t>
        </is>
      </c>
      <c r="F217" t="inlineStr">
        <is>
          <t>Sveaskog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17726-2023</t>
        </is>
      </c>
      <c r="B218" s="1" t="n">
        <v>45037</v>
      </c>
      <c r="C218" s="1" t="n">
        <v>45716</v>
      </c>
      <c r="D218" t="inlineStr">
        <is>
          <t>ÖREBRO LÄN</t>
        </is>
      </c>
      <c r="E218" t="inlineStr">
        <is>
          <t>LJUSNARSBERG</t>
        </is>
      </c>
      <c r="F218" t="inlineStr">
        <is>
          <t>Sveaskog</t>
        </is>
      </c>
      <c r="G218" t="n">
        <v>4.5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17721-2023</t>
        </is>
      </c>
      <c r="B219" s="1" t="n">
        <v>45037</v>
      </c>
      <c r="C219" s="1" t="n">
        <v>45716</v>
      </c>
      <c r="D219" t="inlineStr">
        <is>
          <t>ÖREBRO LÄN</t>
        </is>
      </c>
      <c r="E219" t="inlineStr">
        <is>
          <t>LJUSNARSBERG</t>
        </is>
      </c>
      <c r="F219" t="inlineStr">
        <is>
          <t>Sveaskog</t>
        </is>
      </c>
      <c r="G219" t="n">
        <v>2.1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17725-2023</t>
        </is>
      </c>
      <c r="B220" s="1" t="n">
        <v>45037</v>
      </c>
      <c r="C220" s="1" t="n">
        <v>45716</v>
      </c>
      <c r="D220" t="inlineStr">
        <is>
          <t>ÖREBRO LÄN</t>
        </is>
      </c>
      <c r="E220" t="inlineStr">
        <is>
          <t>LJUSNARSBERG</t>
        </is>
      </c>
      <c r="F220" t="inlineStr">
        <is>
          <t>Sveaskog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18444-2023</t>
        </is>
      </c>
      <c r="B221" s="1" t="n">
        <v>45042</v>
      </c>
      <c r="C221" s="1" t="n">
        <v>45716</v>
      </c>
      <c r="D221" t="inlineStr">
        <is>
          <t>ÖREBRO LÄN</t>
        </is>
      </c>
      <c r="E221" t="inlineStr">
        <is>
          <t>LJUSNARSBERG</t>
        </is>
      </c>
      <c r="F221" t="inlineStr">
        <is>
          <t>Sveaskog</t>
        </is>
      </c>
      <c r="G221" t="n">
        <v>2.7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18446-2023</t>
        </is>
      </c>
      <c r="B222" s="1" t="n">
        <v>45042</v>
      </c>
      <c r="C222" s="1" t="n">
        <v>45716</v>
      </c>
      <c r="D222" t="inlineStr">
        <is>
          <t>ÖREBRO LÄN</t>
        </is>
      </c>
      <c r="E222" t="inlineStr">
        <is>
          <t>LJUSNARSBERG</t>
        </is>
      </c>
      <c r="F222" t="inlineStr">
        <is>
          <t>Sveaskog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21304-2023</t>
        </is>
      </c>
      <c r="B223" s="1" t="n">
        <v>45062</v>
      </c>
      <c r="C223" s="1" t="n">
        <v>45716</v>
      </c>
      <c r="D223" t="inlineStr">
        <is>
          <t>ÖREBRO LÄN</t>
        </is>
      </c>
      <c r="E223" t="inlineStr">
        <is>
          <t>LJUSNARSBERG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21701-2023</t>
        </is>
      </c>
      <c r="B224" s="1" t="n">
        <v>45064</v>
      </c>
      <c r="C224" s="1" t="n">
        <v>45716</v>
      </c>
      <c r="D224" t="inlineStr">
        <is>
          <t>ÖREBRO LÄN</t>
        </is>
      </c>
      <c r="E224" t="inlineStr">
        <is>
          <t>LJUSNARSBERG</t>
        </is>
      </c>
      <c r="F224" t="inlineStr">
        <is>
          <t>Bergvik skog väst AB</t>
        </is>
      </c>
      <c r="G224" t="n">
        <v>6.9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22358-2023</t>
        </is>
      </c>
      <c r="B225" s="1" t="n">
        <v>45070</v>
      </c>
      <c r="C225" s="1" t="n">
        <v>45716</v>
      </c>
      <c r="D225" t="inlineStr">
        <is>
          <t>ÖREBRO LÄN</t>
        </is>
      </c>
      <c r="E225" t="inlineStr">
        <is>
          <t>LJUSNARSBERG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22368-2023</t>
        </is>
      </c>
      <c r="B226" s="1" t="n">
        <v>45070</v>
      </c>
      <c r="C226" s="1" t="n">
        <v>45716</v>
      </c>
      <c r="D226" t="inlineStr">
        <is>
          <t>ÖREBRO LÄN</t>
        </is>
      </c>
      <c r="E226" t="inlineStr">
        <is>
          <t>LJUSNARSBERG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22883-2023</t>
        </is>
      </c>
      <c r="B227" s="1" t="n">
        <v>45072</v>
      </c>
      <c r="C227" s="1" t="n">
        <v>45716</v>
      </c>
      <c r="D227" t="inlineStr">
        <is>
          <t>ÖREBRO LÄN</t>
        </is>
      </c>
      <c r="E227" t="inlineStr">
        <is>
          <t>LJUSNARSBERG</t>
        </is>
      </c>
      <c r="F227" t="inlineStr">
        <is>
          <t>Sveaskog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24889-2023</t>
        </is>
      </c>
      <c r="B228" s="1" t="n">
        <v>45085</v>
      </c>
      <c r="C228" s="1" t="n">
        <v>45716</v>
      </c>
      <c r="D228" t="inlineStr">
        <is>
          <t>ÖREBRO LÄN</t>
        </is>
      </c>
      <c r="E228" t="inlineStr">
        <is>
          <t>LJUSNARSBERG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24921-2023</t>
        </is>
      </c>
      <c r="B229" s="1" t="n">
        <v>45085</v>
      </c>
      <c r="C229" s="1" t="n">
        <v>45716</v>
      </c>
      <c r="D229" t="inlineStr">
        <is>
          <t>ÖREBRO LÄN</t>
        </is>
      </c>
      <c r="E229" t="inlineStr">
        <is>
          <t>LJUSNARSBERG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24898-2023</t>
        </is>
      </c>
      <c r="B230" s="1" t="n">
        <v>45085</v>
      </c>
      <c r="C230" s="1" t="n">
        <v>45716</v>
      </c>
      <c r="D230" t="inlineStr">
        <is>
          <t>ÖREBRO LÄN</t>
        </is>
      </c>
      <c r="E230" t="inlineStr">
        <is>
          <t>LJUSNARSBERG</t>
        </is>
      </c>
      <c r="G230" t="n">
        <v>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25098-2023</t>
        </is>
      </c>
      <c r="B231" s="1" t="n">
        <v>45086</v>
      </c>
      <c r="C231" s="1" t="n">
        <v>45716</v>
      </c>
      <c r="D231" t="inlineStr">
        <is>
          <t>ÖREBRO LÄN</t>
        </is>
      </c>
      <c r="E231" t="inlineStr">
        <is>
          <t>LJUSNARSBERG</t>
        </is>
      </c>
      <c r="F231" t="inlineStr">
        <is>
          <t>Bergvik skog väst AB</t>
        </is>
      </c>
      <c r="G231" t="n">
        <v>2.1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25423-2023</t>
        </is>
      </c>
      <c r="B232" s="1" t="n">
        <v>45089</v>
      </c>
      <c r="C232" s="1" t="n">
        <v>45716</v>
      </c>
      <c r="D232" t="inlineStr">
        <is>
          <t>ÖREBRO LÄN</t>
        </is>
      </c>
      <c r="E232" t="inlineStr">
        <is>
          <t>LJUSNARSBERG</t>
        </is>
      </c>
      <c r="F232" t="inlineStr">
        <is>
          <t>Sveaskog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25539-2023</t>
        </is>
      </c>
      <c r="B233" s="1" t="n">
        <v>45089</v>
      </c>
      <c r="C233" s="1" t="n">
        <v>45716</v>
      </c>
      <c r="D233" t="inlineStr">
        <is>
          <t>ÖREBRO LÄN</t>
        </is>
      </c>
      <c r="E233" t="inlineStr">
        <is>
          <t>LJUSNARSBERG</t>
        </is>
      </c>
      <c r="F233" t="inlineStr">
        <is>
          <t>Sveaskog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25404-2023</t>
        </is>
      </c>
      <c r="B234" s="1" t="n">
        <v>45089</v>
      </c>
      <c r="C234" s="1" t="n">
        <v>45716</v>
      </c>
      <c r="D234" t="inlineStr">
        <is>
          <t>ÖREBRO LÄN</t>
        </is>
      </c>
      <c r="E234" t="inlineStr">
        <is>
          <t>LJUSNARSBERG</t>
        </is>
      </c>
      <c r="F234" t="inlineStr">
        <is>
          <t>Sveaskog</t>
        </is>
      </c>
      <c r="G234" t="n">
        <v>3.2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25486-2023</t>
        </is>
      </c>
      <c r="B235" s="1" t="n">
        <v>45089</v>
      </c>
      <c r="C235" s="1" t="n">
        <v>45716</v>
      </c>
      <c r="D235" t="inlineStr">
        <is>
          <t>ÖREBRO LÄN</t>
        </is>
      </c>
      <c r="E235" t="inlineStr">
        <is>
          <t>LJUSNARSBERG</t>
        </is>
      </c>
      <c r="F235" t="inlineStr">
        <is>
          <t>Sveaskog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25574-2023</t>
        </is>
      </c>
      <c r="B236" s="1" t="n">
        <v>45089</v>
      </c>
      <c r="C236" s="1" t="n">
        <v>45716</v>
      </c>
      <c r="D236" t="inlineStr">
        <is>
          <t>ÖREBRO LÄN</t>
        </is>
      </c>
      <c r="E236" t="inlineStr">
        <is>
          <t>LJUSNARSBERG</t>
        </is>
      </c>
      <c r="F236" t="inlineStr">
        <is>
          <t>Sveaskog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25658-2023</t>
        </is>
      </c>
      <c r="B237" s="1" t="n">
        <v>45089</v>
      </c>
      <c r="C237" s="1" t="n">
        <v>45716</v>
      </c>
      <c r="D237" t="inlineStr">
        <is>
          <t>ÖREBRO LÄN</t>
        </is>
      </c>
      <c r="E237" t="inlineStr">
        <is>
          <t>LJUSNARSBERG</t>
        </is>
      </c>
      <c r="F237" t="inlineStr">
        <is>
          <t>Bergvik skog väst AB</t>
        </is>
      </c>
      <c r="G237" t="n">
        <v>3.1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26423-2023</t>
        </is>
      </c>
      <c r="B238" s="1" t="n">
        <v>45092</v>
      </c>
      <c r="C238" s="1" t="n">
        <v>45716</v>
      </c>
      <c r="D238" t="inlineStr">
        <is>
          <t>ÖREBRO LÄN</t>
        </is>
      </c>
      <c r="E238" t="inlineStr">
        <is>
          <t>LJUSNARSBERG</t>
        </is>
      </c>
      <c r="F238" t="inlineStr">
        <is>
          <t>Sveaskog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26410-2023</t>
        </is>
      </c>
      <c r="B239" s="1" t="n">
        <v>45092</v>
      </c>
      <c r="C239" s="1" t="n">
        <v>45716</v>
      </c>
      <c r="D239" t="inlineStr">
        <is>
          <t>ÖREBRO LÄN</t>
        </is>
      </c>
      <c r="E239" t="inlineStr">
        <is>
          <t>LJUSNARSBERG</t>
        </is>
      </c>
      <c r="F239" t="inlineStr">
        <is>
          <t>Sveaskog</t>
        </is>
      </c>
      <c r="G239" t="n">
        <v>6.5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26417-2023</t>
        </is>
      </c>
      <c r="B240" s="1" t="n">
        <v>45092</v>
      </c>
      <c r="C240" s="1" t="n">
        <v>45716</v>
      </c>
      <c r="D240" t="inlineStr">
        <is>
          <t>ÖREBRO LÄN</t>
        </is>
      </c>
      <c r="E240" t="inlineStr">
        <is>
          <t>LJUSNARSBERG</t>
        </is>
      </c>
      <c r="F240" t="inlineStr">
        <is>
          <t>Sveaskog</t>
        </is>
      </c>
      <c r="G240" t="n">
        <v>8.199999999999999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26425-2023</t>
        </is>
      </c>
      <c r="B241" s="1" t="n">
        <v>45092</v>
      </c>
      <c r="C241" s="1" t="n">
        <v>45716</v>
      </c>
      <c r="D241" t="inlineStr">
        <is>
          <t>ÖREBRO LÄN</t>
        </is>
      </c>
      <c r="E241" t="inlineStr">
        <is>
          <t>LJUSNARSBERG</t>
        </is>
      </c>
      <c r="F241" t="inlineStr">
        <is>
          <t>Sveaskog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26787-2023</t>
        </is>
      </c>
      <c r="B242" s="1" t="n">
        <v>45093</v>
      </c>
      <c r="C242" s="1" t="n">
        <v>45716</v>
      </c>
      <c r="D242" t="inlineStr">
        <is>
          <t>ÖREBRO LÄN</t>
        </is>
      </c>
      <c r="E242" t="inlineStr">
        <is>
          <t>LJUSNARSBERG</t>
        </is>
      </c>
      <c r="G242" t="n">
        <v>4.6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27248-2023</t>
        </is>
      </c>
      <c r="B243" s="1" t="n">
        <v>45096</v>
      </c>
      <c r="C243" s="1" t="n">
        <v>45716</v>
      </c>
      <c r="D243" t="inlineStr">
        <is>
          <t>ÖREBRO LÄN</t>
        </is>
      </c>
      <c r="E243" t="inlineStr">
        <is>
          <t>LJUSNARSBERG</t>
        </is>
      </c>
      <c r="G243" t="n">
        <v>19.3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28543-2023</t>
        </is>
      </c>
      <c r="B244" s="1" t="n">
        <v>45103</v>
      </c>
      <c r="C244" s="1" t="n">
        <v>45716</v>
      </c>
      <c r="D244" t="inlineStr">
        <is>
          <t>ÖREBRO LÄN</t>
        </is>
      </c>
      <c r="E244" t="inlineStr">
        <is>
          <t>LJUSNARSBERG</t>
        </is>
      </c>
      <c r="G244" t="n">
        <v>3.3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31167-2023</t>
        </is>
      </c>
      <c r="B245" s="1" t="n">
        <v>45103</v>
      </c>
      <c r="C245" s="1" t="n">
        <v>45716</v>
      </c>
      <c r="D245" t="inlineStr">
        <is>
          <t>ÖREBRO LÄN</t>
        </is>
      </c>
      <c r="E245" t="inlineStr">
        <is>
          <t>LJUSNARSBERG</t>
        </is>
      </c>
      <c r="F245" t="inlineStr">
        <is>
          <t>Bergvik skog väst AB</t>
        </is>
      </c>
      <c r="G245" t="n">
        <v>1.7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31159-2023</t>
        </is>
      </c>
      <c r="B246" s="1" t="n">
        <v>45103</v>
      </c>
      <c r="C246" s="1" t="n">
        <v>45716</v>
      </c>
      <c r="D246" t="inlineStr">
        <is>
          <t>ÖREBRO LÄN</t>
        </is>
      </c>
      <c r="E246" t="inlineStr">
        <is>
          <t>LJUSNARSBERG</t>
        </is>
      </c>
      <c r="F246" t="inlineStr">
        <is>
          <t>Bergvik skog väst AB</t>
        </is>
      </c>
      <c r="G246" t="n">
        <v>15.5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31162-2023</t>
        </is>
      </c>
      <c r="B247" s="1" t="n">
        <v>45103</v>
      </c>
      <c r="C247" s="1" t="n">
        <v>45716</v>
      </c>
      <c r="D247" t="inlineStr">
        <is>
          <t>ÖREBRO LÄN</t>
        </is>
      </c>
      <c r="E247" t="inlineStr">
        <is>
          <t>LJUSNARSBERG</t>
        </is>
      </c>
      <c r="F247" t="inlineStr">
        <is>
          <t>Bergvik skog väst AB</t>
        </is>
      </c>
      <c r="G247" t="n">
        <v>10.4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31310-2023</t>
        </is>
      </c>
      <c r="B248" s="1" t="n">
        <v>45103</v>
      </c>
      <c r="C248" s="1" t="n">
        <v>45716</v>
      </c>
      <c r="D248" t="inlineStr">
        <is>
          <t>ÖREBRO LÄN</t>
        </is>
      </c>
      <c r="E248" t="inlineStr">
        <is>
          <t>LJUSNARSBERG</t>
        </is>
      </c>
      <c r="F248" t="inlineStr">
        <is>
          <t>Bergvik skog väst AB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31165-2023</t>
        </is>
      </c>
      <c r="B249" s="1" t="n">
        <v>45103</v>
      </c>
      <c r="C249" s="1" t="n">
        <v>45716</v>
      </c>
      <c r="D249" t="inlineStr">
        <is>
          <t>ÖREBRO LÄN</t>
        </is>
      </c>
      <c r="E249" t="inlineStr">
        <is>
          <t>LJUSNARSBERG</t>
        </is>
      </c>
      <c r="F249" t="inlineStr">
        <is>
          <t>Bergvik skog väst AB</t>
        </is>
      </c>
      <c r="G249" t="n">
        <v>6.5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31295-2023</t>
        </is>
      </c>
      <c r="B250" s="1" t="n">
        <v>45103</v>
      </c>
      <c r="C250" s="1" t="n">
        <v>45716</v>
      </c>
      <c r="D250" t="inlineStr">
        <is>
          <t>ÖREBRO LÄN</t>
        </is>
      </c>
      <c r="E250" t="inlineStr">
        <is>
          <t>LJUSNARSBERG</t>
        </is>
      </c>
      <c r="F250" t="inlineStr">
        <is>
          <t>Bergvik skog väst AB</t>
        </is>
      </c>
      <c r="G250" t="n">
        <v>3.2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28855-2023</t>
        </is>
      </c>
      <c r="B251" s="1" t="n">
        <v>45104</v>
      </c>
      <c r="C251" s="1" t="n">
        <v>45716</v>
      </c>
      <c r="D251" t="inlineStr">
        <is>
          <t>ÖREBRO LÄN</t>
        </is>
      </c>
      <c r="E251" t="inlineStr">
        <is>
          <t>LJUSNARSBERG</t>
        </is>
      </c>
      <c r="G251" t="n">
        <v>3.3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29436-2023</t>
        </is>
      </c>
      <c r="B252" s="1" t="n">
        <v>45106</v>
      </c>
      <c r="C252" s="1" t="n">
        <v>45716</v>
      </c>
      <c r="D252" t="inlineStr">
        <is>
          <t>ÖREBRO LÄN</t>
        </is>
      </c>
      <c r="E252" t="inlineStr">
        <is>
          <t>LJUSNARSBERG</t>
        </is>
      </c>
      <c r="G252" t="n">
        <v>4.9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31763-2023</t>
        </is>
      </c>
      <c r="B253" s="1" t="n">
        <v>45106</v>
      </c>
      <c r="C253" s="1" t="n">
        <v>45716</v>
      </c>
      <c r="D253" t="inlineStr">
        <is>
          <t>ÖREBRO LÄN</t>
        </is>
      </c>
      <c r="E253" t="inlineStr">
        <is>
          <t>LJUSNARSBERG</t>
        </is>
      </c>
      <c r="F253" t="inlineStr">
        <is>
          <t>Bergvik skog väst AB</t>
        </is>
      </c>
      <c r="G253" t="n">
        <v>11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29721-2023</t>
        </is>
      </c>
      <c r="B254" s="1" t="n">
        <v>45107</v>
      </c>
      <c r="C254" s="1" t="n">
        <v>45716</v>
      </c>
      <c r="D254" t="inlineStr">
        <is>
          <t>ÖREBRO LÄN</t>
        </is>
      </c>
      <c r="E254" t="inlineStr">
        <is>
          <t>LJUSNARSBERG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29677-2023</t>
        </is>
      </c>
      <c r="B255" s="1" t="n">
        <v>45107</v>
      </c>
      <c r="C255" s="1" t="n">
        <v>45716</v>
      </c>
      <c r="D255" t="inlineStr">
        <is>
          <t>ÖREBRO LÄN</t>
        </is>
      </c>
      <c r="E255" t="inlineStr">
        <is>
          <t>LJUSNARSBERG</t>
        </is>
      </c>
      <c r="F255" t="inlineStr">
        <is>
          <t>Sveaskog</t>
        </is>
      </c>
      <c r="G255" t="n">
        <v>6.9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30222-2023</t>
        </is>
      </c>
      <c r="B256" s="1" t="n">
        <v>45110</v>
      </c>
      <c r="C256" s="1" t="n">
        <v>45716</v>
      </c>
      <c r="D256" t="inlineStr">
        <is>
          <t>ÖREBRO LÄN</t>
        </is>
      </c>
      <c r="E256" t="inlineStr">
        <is>
          <t>LJUSNARSBERG</t>
        </is>
      </c>
      <c r="G256" t="n">
        <v>3.2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30172-2023</t>
        </is>
      </c>
      <c r="B257" s="1" t="n">
        <v>45110</v>
      </c>
      <c r="C257" s="1" t="n">
        <v>45716</v>
      </c>
      <c r="D257" t="inlineStr">
        <is>
          <t>ÖREBRO LÄN</t>
        </is>
      </c>
      <c r="E257" t="inlineStr">
        <is>
          <t>LJUSNARSBERG</t>
        </is>
      </c>
      <c r="F257" t="inlineStr">
        <is>
          <t>Bergvik skog väst AB</t>
        </is>
      </c>
      <c r="G257" t="n">
        <v>10.8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30414-2023</t>
        </is>
      </c>
      <c r="B258" s="1" t="n">
        <v>45111</v>
      </c>
      <c r="C258" s="1" t="n">
        <v>45716</v>
      </c>
      <c r="D258" t="inlineStr">
        <is>
          <t>ÖREBRO LÄN</t>
        </is>
      </c>
      <c r="E258" t="inlineStr">
        <is>
          <t>LJUSNARSBERG</t>
        </is>
      </c>
      <c r="F258" t="inlineStr">
        <is>
          <t>Bergvik skog väst AB</t>
        </is>
      </c>
      <c r="G258" t="n">
        <v>12.8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30332-2023</t>
        </is>
      </c>
      <c r="B259" s="1" t="n">
        <v>45111</v>
      </c>
      <c r="C259" s="1" t="n">
        <v>45716</v>
      </c>
      <c r="D259" t="inlineStr">
        <is>
          <t>ÖREBRO LÄN</t>
        </is>
      </c>
      <c r="E259" t="inlineStr">
        <is>
          <t>LJUSNARSBERG</t>
        </is>
      </c>
      <c r="F259" t="inlineStr">
        <is>
          <t>Bergvik skog väst AB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30774-2023</t>
        </is>
      </c>
      <c r="B260" s="1" t="n">
        <v>45112</v>
      </c>
      <c r="C260" s="1" t="n">
        <v>45716</v>
      </c>
      <c r="D260" t="inlineStr">
        <is>
          <t>ÖREBRO LÄN</t>
        </is>
      </c>
      <c r="E260" t="inlineStr">
        <is>
          <t>LJUSNARSBERG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31505-2023</t>
        </is>
      </c>
      <c r="B261" s="1" t="n">
        <v>45116</v>
      </c>
      <c r="C261" s="1" t="n">
        <v>45716</v>
      </c>
      <c r="D261" t="inlineStr">
        <is>
          <t>ÖREBRO LÄN</t>
        </is>
      </c>
      <c r="E261" t="inlineStr">
        <is>
          <t>LJUSNARSBERG</t>
        </is>
      </c>
      <c r="F261" t="inlineStr">
        <is>
          <t>Bergvik skog väst AB</t>
        </is>
      </c>
      <c r="G261" t="n">
        <v>4.8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31504-2023</t>
        </is>
      </c>
      <c r="B262" s="1" t="n">
        <v>45115</v>
      </c>
      <c r="C262" s="1" t="n">
        <v>45716</v>
      </c>
      <c r="D262" t="inlineStr">
        <is>
          <t>ÖREBRO LÄN</t>
        </is>
      </c>
      <c r="E262" t="inlineStr">
        <is>
          <t>LJUSNARSBERG</t>
        </is>
      </c>
      <c r="F262" t="inlineStr">
        <is>
          <t>Bergvik skog väst AB</t>
        </is>
      </c>
      <c r="G262" t="n">
        <v>2.9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33979-2023</t>
        </is>
      </c>
      <c r="B263" s="1" t="n">
        <v>45124</v>
      </c>
      <c r="C263" s="1" t="n">
        <v>45716</v>
      </c>
      <c r="D263" t="inlineStr">
        <is>
          <t>ÖREBRO LÄN</t>
        </is>
      </c>
      <c r="E263" t="inlineStr">
        <is>
          <t>LJUSNARSBERG</t>
        </is>
      </c>
      <c r="F263" t="inlineStr">
        <is>
          <t>Bergvik skog väst AB</t>
        </is>
      </c>
      <c r="G263" t="n">
        <v>4.8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33974-2023</t>
        </is>
      </c>
      <c r="B264" s="1" t="n">
        <v>45124</v>
      </c>
      <c r="C264" s="1" t="n">
        <v>45716</v>
      </c>
      <c r="D264" t="inlineStr">
        <is>
          <t>ÖREBRO LÄN</t>
        </is>
      </c>
      <c r="E264" t="inlineStr">
        <is>
          <t>LJUSNARSBERG</t>
        </is>
      </c>
      <c r="F264" t="inlineStr">
        <is>
          <t>Bergvik skog väst AB</t>
        </is>
      </c>
      <c r="G264" t="n">
        <v>0.9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33976-2023</t>
        </is>
      </c>
      <c r="B265" s="1" t="n">
        <v>45124</v>
      </c>
      <c r="C265" s="1" t="n">
        <v>45716</v>
      </c>
      <c r="D265" t="inlineStr">
        <is>
          <t>ÖREBRO LÄN</t>
        </is>
      </c>
      <c r="E265" t="inlineStr">
        <is>
          <t>LJUSNARSBERG</t>
        </is>
      </c>
      <c r="F265" t="inlineStr">
        <is>
          <t>Bergvik skog väst AB</t>
        </is>
      </c>
      <c r="G265" t="n">
        <v>6.7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33975-2023</t>
        </is>
      </c>
      <c r="B266" s="1" t="n">
        <v>45124</v>
      </c>
      <c r="C266" s="1" t="n">
        <v>45716</v>
      </c>
      <c r="D266" t="inlineStr">
        <is>
          <t>ÖREBRO LÄN</t>
        </is>
      </c>
      <c r="E266" t="inlineStr">
        <is>
          <t>LJUSNARSBERG</t>
        </is>
      </c>
      <c r="F266" t="inlineStr">
        <is>
          <t>Bergvik skog väst AB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33370-2023</t>
        </is>
      </c>
      <c r="B267" s="1" t="n">
        <v>45128</v>
      </c>
      <c r="C267" s="1" t="n">
        <v>45716</v>
      </c>
      <c r="D267" t="inlineStr">
        <is>
          <t>ÖREBRO LÄN</t>
        </is>
      </c>
      <c r="E267" t="inlineStr">
        <is>
          <t>LJUSNARSBERG</t>
        </is>
      </c>
      <c r="G267" t="n">
        <v>23.5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34926-2023</t>
        </is>
      </c>
      <c r="B268" s="1" t="n">
        <v>45142</v>
      </c>
      <c r="C268" s="1" t="n">
        <v>45716</v>
      </c>
      <c r="D268" t="inlineStr">
        <is>
          <t>ÖREBRO LÄN</t>
        </is>
      </c>
      <c r="E268" t="inlineStr">
        <is>
          <t>LJUSNARSBERG</t>
        </is>
      </c>
      <c r="F268" t="inlineStr">
        <is>
          <t>Bergvik skog väst AB</t>
        </is>
      </c>
      <c r="G268" t="n">
        <v>4.4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35211-2023</t>
        </is>
      </c>
      <c r="B269" s="1" t="n">
        <v>45145</v>
      </c>
      <c r="C269" s="1" t="n">
        <v>45716</v>
      </c>
      <c r="D269" t="inlineStr">
        <is>
          <t>ÖREBRO LÄN</t>
        </is>
      </c>
      <c r="E269" t="inlineStr">
        <is>
          <t>LJUSNARSBERG</t>
        </is>
      </c>
      <c r="G269" t="n">
        <v>0.5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35151-2023</t>
        </is>
      </c>
      <c r="B270" s="1" t="n">
        <v>45145</v>
      </c>
      <c r="C270" s="1" t="n">
        <v>45716</v>
      </c>
      <c r="D270" t="inlineStr">
        <is>
          <t>ÖREBRO LÄN</t>
        </is>
      </c>
      <c r="E270" t="inlineStr">
        <is>
          <t>LJUSNARSBERG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35788-2023</t>
        </is>
      </c>
      <c r="B271" s="1" t="n">
        <v>45147</v>
      </c>
      <c r="C271" s="1" t="n">
        <v>45716</v>
      </c>
      <c r="D271" t="inlineStr">
        <is>
          <t>ÖREBRO LÄN</t>
        </is>
      </c>
      <c r="E271" t="inlineStr">
        <is>
          <t>LJUSNARSBERG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35790-2023</t>
        </is>
      </c>
      <c r="B272" s="1" t="n">
        <v>45147</v>
      </c>
      <c r="C272" s="1" t="n">
        <v>45716</v>
      </c>
      <c r="D272" t="inlineStr">
        <is>
          <t>ÖREBRO LÄN</t>
        </is>
      </c>
      <c r="E272" t="inlineStr">
        <is>
          <t>LJUSNARSBERG</t>
        </is>
      </c>
      <c r="G272" t="n">
        <v>5.3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37066-2023</t>
        </is>
      </c>
      <c r="B273" s="1" t="n">
        <v>45155</v>
      </c>
      <c r="C273" s="1" t="n">
        <v>45716</v>
      </c>
      <c r="D273" t="inlineStr">
        <is>
          <t>ÖREBRO LÄN</t>
        </is>
      </c>
      <c r="E273" t="inlineStr">
        <is>
          <t>LJUSNARSBERG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37097-2023</t>
        </is>
      </c>
      <c r="B274" s="1" t="n">
        <v>45155</v>
      </c>
      <c r="C274" s="1" t="n">
        <v>45716</v>
      </c>
      <c r="D274" t="inlineStr">
        <is>
          <t>ÖREBRO LÄN</t>
        </is>
      </c>
      <c r="E274" t="inlineStr">
        <is>
          <t>LJUSNARSBERG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37148-2023</t>
        </is>
      </c>
      <c r="B275" s="1" t="n">
        <v>45155</v>
      </c>
      <c r="C275" s="1" t="n">
        <v>45716</v>
      </c>
      <c r="D275" t="inlineStr">
        <is>
          <t>ÖREBRO LÄN</t>
        </is>
      </c>
      <c r="E275" t="inlineStr">
        <is>
          <t>LJUSNARSBERG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37324-2023</t>
        </is>
      </c>
      <c r="B276" s="1" t="n">
        <v>45156</v>
      </c>
      <c r="C276" s="1" t="n">
        <v>45716</v>
      </c>
      <c r="D276" t="inlineStr">
        <is>
          <t>ÖREBRO LÄN</t>
        </is>
      </c>
      <c r="E276" t="inlineStr">
        <is>
          <t>LJUSNARSBERG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37853-2023</t>
        </is>
      </c>
      <c r="B277" s="1" t="n">
        <v>45156</v>
      </c>
      <c r="C277" s="1" t="n">
        <v>45716</v>
      </c>
      <c r="D277" t="inlineStr">
        <is>
          <t>ÖREBRO LÄN</t>
        </is>
      </c>
      <c r="E277" t="inlineStr">
        <is>
          <t>LJUSNARSBERG</t>
        </is>
      </c>
      <c r="F277" t="inlineStr">
        <is>
          <t>Bergvik skog väst AB</t>
        </is>
      </c>
      <c r="G277" t="n">
        <v>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40055-2023</t>
        </is>
      </c>
      <c r="B278" s="1" t="n">
        <v>45168</v>
      </c>
      <c r="C278" s="1" t="n">
        <v>45716</v>
      </c>
      <c r="D278" t="inlineStr">
        <is>
          <t>ÖREBRO LÄN</t>
        </is>
      </c>
      <c r="E278" t="inlineStr">
        <is>
          <t>LJUSNARSBERG</t>
        </is>
      </c>
      <c r="F278" t="inlineStr">
        <is>
          <t>Kommuner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41720-2023</t>
        </is>
      </c>
      <c r="B279" s="1" t="n">
        <v>45176</v>
      </c>
      <c r="C279" s="1" t="n">
        <v>45716</v>
      </c>
      <c r="D279" t="inlineStr">
        <is>
          <t>ÖREBRO LÄN</t>
        </is>
      </c>
      <c r="E279" t="inlineStr">
        <is>
          <t>LJUSNARSBERG</t>
        </is>
      </c>
      <c r="G279" t="n">
        <v>4.2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41791-2023</t>
        </is>
      </c>
      <c r="B280" s="1" t="n">
        <v>45176</v>
      </c>
      <c r="C280" s="1" t="n">
        <v>45716</v>
      </c>
      <c r="D280" t="inlineStr">
        <is>
          <t>ÖREBRO LÄN</t>
        </is>
      </c>
      <c r="E280" t="inlineStr">
        <is>
          <t>LJUSNARSBERG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42761-2023</t>
        </is>
      </c>
      <c r="B281" s="1" t="n">
        <v>45177</v>
      </c>
      <c r="C281" s="1" t="n">
        <v>45716</v>
      </c>
      <c r="D281" t="inlineStr">
        <is>
          <t>ÖREBRO LÄN</t>
        </is>
      </c>
      <c r="E281" t="inlineStr">
        <is>
          <t>LJUSNARSBERG</t>
        </is>
      </c>
      <c r="G281" t="n">
        <v>4.4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42754-2023</t>
        </is>
      </c>
      <c r="B282" s="1" t="n">
        <v>45177</v>
      </c>
      <c r="C282" s="1" t="n">
        <v>45716</v>
      </c>
      <c r="D282" t="inlineStr">
        <is>
          <t>ÖREBRO LÄN</t>
        </is>
      </c>
      <c r="E282" t="inlineStr">
        <is>
          <t>LJUSNARSBERG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42304-2023</t>
        </is>
      </c>
      <c r="B283" s="1" t="n">
        <v>45180</v>
      </c>
      <c r="C283" s="1" t="n">
        <v>45716</v>
      </c>
      <c r="D283" t="inlineStr">
        <is>
          <t>ÖREBRO LÄN</t>
        </is>
      </c>
      <c r="E283" t="inlineStr">
        <is>
          <t>LJUSNARSBERG</t>
        </is>
      </c>
      <c r="G283" t="n">
        <v>27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47580-2023</t>
        </is>
      </c>
      <c r="B284" s="1" t="n">
        <v>45197</v>
      </c>
      <c r="C284" s="1" t="n">
        <v>45716</v>
      </c>
      <c r="D284" t="inlineStr">
        <is>
          <t>ÖREBRO LÄN</t>
        </is>
      </c>
      <c r="E284" t="inlineStr">
        <is>
          <t>LJUSNARSBERG</t>
        </is>
      </c>
      <c r="F284" t="inlineStr">
        <is>
          <t>Bergvik skog väst AB</t>
        </is>
      </c>
      <c r="G284" t="n">
        <v>14.9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49975-2023</t>
        </is>
      </c>
      <c r="B285" s="1" t="n">
        <v>45215</v>
      </c>
      <c r="C285" s="1" t="n">
        <v>45716</v>
      </c>
      <c r="D285" t="inlineStr">
        <is>
          <t>ÖREBRO LÄN</t>
        </is>
      </c>
      <c r="E285" t="inlineStr">
        <is>
          <t>LJUSNARSBERG</t>
        </is>
      </c>
      <c r="G285" t="n">
        <v>2.8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50049-2023</t>
        </is>
      </c>
      <c r="B286" s="1" t="n">
        <v>45215</v>
      </c>
      <c r="C286" s="1" t="n">
        <v>45716</v>
      </c>
      <c r="D286" t="inlineStr">
        <is>
          <t>ÖREBRO LÄN</t>
        </is>
      </c>
      <c r="E286" t="inlineStr">
        <is>
          <t>LJUSNARSBERG</t>
        </is>
      </c>
      <c r="G286" t="n">
        <v>1.5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50524-2023</t>
        </is>
      </c>
      <c r="B287" s="1" t="n">
        <v>45217</v>
      </c>
      <c r="C287" s="1" t="n">
        <v>45716</v>
      </c>
      <c r="D287" t="inlineStr">
        <is>
          <t>ÖREBRO LÄN</t>
        </is>
      </c>
      <c r="E287" t="inlineStr">
        <is>
          <t>LJUSNARSBERG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50636-2023</t>
        </is>
      </c>
      <c r="B288" s="1" t="n">
        <v>45217</v>
      </c>
      <c r="C288" s="1" t="n">
        <v>45716</v>
      </c>
      <c r="D288" t="inlineStr">
        <is>
          <t>ÖREBRO LÄN</t>
        </is>
      </c>
      <c r="E288" t="inlineStr">
        <is>
          <t>LJUSNARSBERG</t>
        </is>
      </c>
      <c r="F288" t="inlineStr">
        <is>
          <t>Kommuner</t>
        </is>
      </c>
      <c r="G288" t="n">
        <v>17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50802-2023</t>
        </is>
      </c>
      <c r="B289" s="1" t="n">
        <v>45217</v>
      </c>
      <c r="C289" s="1" t="n">
        <v>45716</v>
      </c>
      <c r="D289" t="inlineStr">
        <is>
          <t>ÖREBRO LÄN</t>
        </is>
      </c>
      <c r="E289" t="inlineStr">
        <is>
          <t>LJUSNARSBERG</t>
        </is>
      </c>
      <c r="G289" t="n">
        <v>12.9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55787-2023</t>
        </is>
      </c>
      <c r="B290" s="1" t="n">
        <v>45239</v>
      </c>
      <c r="C290" s="1" t="n">
        <v>45716</v>
      </c>
      <c r="D290" t="inlineStr">
        <is>
          <t>ÖREBRO LÄN</t>
        </is>
      </c>
      <c r="E290" t="inlineStr">
        <is>
          <t>LJUSNARSBERG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56079-2023</t>
        </is>
      </c>
      <c r="B291" s="1" t="n">
        <v>45240</v>
      </c>
      <c r="C291" s="1" t="n">
        <v>45716</v>
      </c>
      <c r="D291" t="inlineStr">
        <is>
          <t>ÖREBRO LÄN</t>
        </is>
      </c>
      <c r="E291" t="inlineStr">
        <is>
          <t>LJUSNARSBERG</t>
        </is>
      </c>
      <c r="F291" t="inlineStr">
        <is>
          <t>Bergvik skog väst AB</t>
        </is>
      </c>
      <c r="G291" t="n">
        <v>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56633-2023</t>
        </is>
      </c>
      <c r="B292" s="1" t="n">
        <v>45243</v>
      </c>
      <c r="C292" s="1" t="n">
        <v>45716</v>
      </c>
      <c r="D292" t="inlineStr">
        <is>
          <t>ÖREBRO LÄN</t>
        </is>
      </c>
      <c r="E292" t="inlineStr">
        <is>
          <t>LJUSNARSBERG</t>
        </is>
      </c>
      <c r="G292" t="n">
        <v>5.2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58161-2023</t>
        </is>
      </c>
      <c r="B293" s="1" t="n">
        <v>45245</v>
      </c>
      <c r="C293" s="1" t="n">
        <v>45716</v>
      </c>
      <c r="D293" t="inlineStr">
        <is>
          <t>ÖREBRO LÄN</t>
        </is>
      </c>
      <c r="E293" t="inlineStr">
        <is>
          <t>LJUSNARSBERG</t>
        </is>
      </c>
      <c r="G293" t="n">
        <v>11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58175-2023</t>
        </is>
      </c>
      <c r="B294" s="1" t="n">
        <v>45245</v>
      </c>
      <c r="C294" s="1" t="n">
        <v>45716</v>
      </c>
      <c r="D294" t="inlineStr">
        <is>
          <t>ÖREBRO LÄN</t>
        </is>
      </c>
      <c r="E294" t="inlineStr">
        <is>
          <t>LJUSNARSBERG</t>
        </is>
      </c>
      <c r="G294" t="n">
        <v>10.9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58248-2023</t>
        </is>
      </c>
      <c r="B295" s="1" t="n">
        <v>45250</v>
      </c>
      <c r="C295" s="1" t="n">
        <v>45716</v>
      </c>
      <c r="D295" t="inlineStr">
        <is>
          <t>ÖREBRO LÄN</t>
        </is>
      </c>
      <c r="E295" t="inlineStr">
        <is>
          <t>LJUSNARSBERG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61580-2023</t>
        </is>
      </c>
      <c r="B296" s="1" t="n">
        <v>45265</v>
      </c>
      <c r="C296" s="1" t="n">
        <v>45716</v>
      </c>
      <c r="D296" t="inlineStr">
        <is>
          <t>ÖREBRO LÄN</t>
        </is>
      </c>
      <c r="E296" t="inlineStr">
        <is>
          <t>LJUSNARSBERG</t>
        </is>
      </c>
      <c r="G296" t="n">
        <v>2.5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62185-2023</t>
        </is>
      </c>
      <c r="B297" s="1" t="n">
        <v>45267</v>
      </c>
      <c r="C297" s="1" t="n">
        <v>45716</v>
      </c>
      <c r="D297" t="inlineStr">
        <is>
          <t>ÖREBRO LÄN</t>
        </is>
      </c>
      <c r="E297" t="inlineStr">
        <is>
          <t>LJUSNARSBERG</t>
        </is>
      </c>
      <c r="F297" t="inlineStr">
        <is>
          <t>Bergvik skog väst AB</t>
        </is>
      </c>
      <c r="G297" t="n">
        <v>15.1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62255-2023</t>
        </is>
      </c>
      <c r="B298" s="1" t="n">
        <v>45267</v>
      </c>
      <c r="C298" s="1" t="n">
        <v>45716</v>
      </c>
      <c r="D298" t="inlineStr">
        <is>
          <t>ÖREBRO LÄN</t>
        </is>
      </c>
      <c r="E298" t="inlineStr">
        <is>
          <t>LJUSNARSBERG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63214-2023</t>
        </is>
      </c>
      <c r="B299" s="1" t="n">
        <v>45273</v>
      </c>
      <c r="C299" s="1" t="n">
        <v>45716</v>
      </c>
      <c r="D299" t="inlineStr">
        <is>
          <t>ÖREBRO LÄN</t>
        </is>
      </c>
      <c r="E299" t="inlineStr">
        <is>
          <t>LJUSNARSBERG</t>
        </is>
      </c>
      <c r="G299" t="n">
        <v>4.2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65005-2023</t>
        </is>
      </c>
      <c r="B300" s="1" t="n">
        <v>45287</v>
      </c>
      <c r="C300" s="1" t="n">
        <v>45716</v>
      </c>
      <c r="D300" t="inlineStr">
        <is>
          <t>ÖREBRO LÄN</t>
        </is>
      </c>
      <c r="E300" t="inlineStr">
        <is>
          <t>LJUSNARSBERG</t>
        </is>
      </c>
      <c r="G300" t="n">
        <v>1.4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6310-2024</t>
        </is>
      </c>
      <c r="B301" s="1" t="n">
        <v>45338</v>
      </c>
      <c r="C301" s="1" t="n">
        <v>45716</v>
      </c>
      <c r="D301" t="inlineStr">
        <is>
          <t>ÖREBRO LÄN</t>
        </is>
      </c>
      <c r="E301" t="inlineStr">
        <is>
          <t>LJUSNARSBERG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7499-2024</t>
        </is>
      </c>
      <c r="B302" s="1" t="n">
        <v>45347</v>
      </c>
      <c r="C302" s="1" t="n">
        <v>45716</v>
      </c>
      <c r="D302" t="inlineStr">
        <is>
          <t>ÖREBRO LÄN</t>
        </is>
      </c>
      <c r="E302" t="inlineStr">
        <is>
          <t>LJUSNARSBERG</t>
        </is>
      </c>
      <c r="G302" t="n">
        <v>3.4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9076-2024</t>
        </is>
      </c>
      <c r="B303" s="1" t="n">
        <v>45357</v>
      </c>
      <c r="C303" s="1" t="n">
        <v>45716</v>
      </c>
      <c r="D303" t="inlineStr">
        <is>
          <t>ÖREBRO LÄN</t>
        </is>
      </c>
      <c r="E303" t="inlineStr">
        <is>
          <t>LJUSNARSBERG</t>
        </is>
      </c>
      <c r="G303" t="n">
        <v>15.8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9077-2024</t>
        </is>
      </c>
      <c r="B304" s="1" t="n">
        <v>45357</v>
      </c>
      <c r="C304" s="1" t="n">
        <v>45716</v>
      </c>
      <c r="D304" t="inlineStr">
        <is>
          <t>ÖREBRO LÄN</t>
        </is>
      </c>
      <c r="E304" t="inlineStr">
        <is>
          <t>LJUSNARSBERG</t>
        </is>
      </c>
      <c r="G304" t="n">
        <v>12.7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9500-2024</t>
        </is>
      </c>
      <c r="B305" s="1" t="n">
        <v>45359</v>
      </c>
      <c r="C305" s="1" t="n">
        <v>45716</v>
      </c>
      <c r="D305" t="inlineStr">
        <is>
          <t>ÖREBRO LÄN</t>
        </is>
      </c>
      <c r="E305" t="inlineStr">
        <is>
          <t>LJUSNARSBERG</t>
        </is>
      </c>
      <c r="G305" t="n">
        <v>11.8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9513-2024</t>
        </is>
      </c>
      <c r="B306" s="1" t="n">
        <v>45359</v>
      </c>
      <c r="C306" s="1" t="n">
        <v>45716</v>
      </c>
      <c r="D306" t="inlineStr">
        <is>
          <t>ÖREBRO LÄN</t>
        </is>
      </c>
      <c r="E306" t="inlineStr">
        <is>
          <t>LJUSNARSBERG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11927-2024</t>
        </is>
      </c>
      <c r="B307" s="1" t="n">
        <v>45376</v>
      </c>
      <c r="C307" s="1" t="n">
        <v>45716</v>
      </c>
      <c r="D307" t="inlineStr">
        <is>
          <t>ÖREBRO LÄN</t>
        </is>
      </c>
      <c r="E307" t="inlineStr">
        <is>
          <t>LJUSNARSBERG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12295-2024</t>
        </is>
      </c>
      <c r="B308" s="1" t="n">
        <v>45378</v>
      </c>
      <c r="C308" s="1" t="n">
        <v>45716</v>
      </c>
      <c r="D308" t="inlineStr">
        <is>
          <t>ÖREBRO LÄN</t>
        </is>
      </c>
      <c r="E308" t="inlineStr">
        <is>
          <t>LJUSNARSBERG</t>
        </is>
      </c>
      <c r="G308" t="n">
        <v>6.2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13389-2024</t>
        </is>
      </c>
      <c r="B309" s="1" t="n">
        <v>45387</v>
      </c>
      <c r="C309" s="1" t="n">
        <v>45716</v>
      </c>
      <c r="D309" t="inlineStr">
        <is>
          <t>ÖREBRO LÄN</t>
        </is>
      </c>
      <c r="E309" t="inlineStr">
        <is>
          <t>LJUSNARSBERG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13752-2024</t>
        </is>
      </c>
      <c r="B310" s="1" t="n">
        <v>45390</v>
      </c>
      <c r="C310" s="1" t="n">
        <v>45716</v>
      </c>
      <c r="D310" t="inlineStr">
        <is>
          <t>ÖREBRO LÄN</t>
        </is>
      </c>
      <c r="E310" t="inlineStr">
        <is>
          <t>LJUSNARSBERG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13794-2024</t>
        </is>
      </c>
      <c r="B311" s="1" t="n">
        <v>45390</v>
      </c>
      <c r="C311" s="1" t="n">
        <v>45716</v>
      </c>
      <c r="D311" t="inlineStr">
        <is>
          <t>ÖREBRO LÄN</t>
        </is>
      </c>
      <c r="E311" t="inlineStr">
        <is>
          <t>LJUSNARSBERG</t>
        </is>
      </c>
      <c r="F311" t="inlineStr">
        <is>
          <t>Bergvik skog väst AB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14500-2024</t>
        </is>
      </c>
      <c r="B312" s="1" t="n">
        <v>45394</v>
      </c>
      <c r="C312" s="1" t="n">
        <v>45716</v>
      </c>
      <c r="D312" t="inlineStr">
        <is>
          <t>ÖREBRO LÄN</t>
        </is>
      </c>
      <c r="E312" t="inlineStr">
        <is>
          <t>LJUSNARSBERG</t>
        </is>
      </c>
      <c r="G312" t="n">
        <v>5.4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14482-2024</t>
        </is>
      </c>
      <c r="B313" s="1" t="n">
        <v>45394</v>
      </c>
      <c r="C313" s="1" t="n">
        <v>45716</v>
      </c>
      <c r="D313" t="inlineStr">
        <is>
          <t>ÖREBRO LÄN</t>
        </is>
      </c>
      <c r="E313" t="inlineStr">
        <is>
          <t>LJUSNARSBERG</t>
        </is>
      </c>
      <c r="G313" t="n">
        <v>6.6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14491-2024</t>
        </is>
      </c>
      <c r="B314" s="1" t="n">
        <v>45394</v>
      </c>
      <c r="C314" s="1" t="n">
        <v>45716</v>
      </c>
      <c r="D314" t="inlineStr">
        <is>
          <t>ÖREBRO LÄN</t>
        </is>
      </c>
      <c r="E314" t="inlineStr">
        <is>
          <t>LJUSNARSBERG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14477-2024</t>
        </is>
      </c>
      <c r="B315" s="1" t="n">
        <v>45394</v>
      </c>
      <c r="C315" s="1" t="n">
        <v>45716</v>
      </c>
      <c r="D315" t="inlineStr">
        <is>
          <t>ÖREBRO LÄN</t>
        </is>
      </c>
      <c r="E315" t="inlineStr">
        <is>
          <t>LJUSNARSBERG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14942-2024</t>
        </is>
      </c>
      <c r="B316" s="1" t="n">
        <v>45398</v>
      </c>
      <c r="C316" s="1" t="n">
        <v>45716</v>
      </c>
      <c r="D316" t="inlineStr">
        <is>
          <t>ÖREBRO LÄN</t>
        </is>
      </c>
      <c r="E316" t="inlineStr">
        <is>
          <t>LJUSNARSBERG</t>
        </is>
      </c>
      <c r="G316" t="n">
        <v>4.9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15119-2024</t>
        </is>
      </c>
      <c r="B317" s="1" t="n">
        <v>45399</v>
      </c>
      <c r="C317" s="1" t="n">
        <v>45716</v>
      </c>
      <c r="D317" t="inlineStr">
        <is>
          <t>ÖREBRO LÄN</t>
        </is>
      </c>
      <c r="E317" t="inlineStr">
        <is>
          <t>LJUSNARSBERG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15114-2024</t>
        </is>
      </c>
      <c r="B318" s="1" t="n">
        <v>45399</v>
      </c>
      <c r="C318" s="1" t="n">
        <v>45716</v>
      </c>
      <c r="D318" t="inlineStr">
        <is>
          <t>ÖREBRO LÄN</t>
        </is>
      </c>
      <c r="E318" t="inlineStr">
        <is>
          <t>LJUSNARSBERG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15118-2024</t>
        </is>
      </c>
      <c r="B319" s="1" t="n">
        <v>45399</v>
      </c>
      <c r="C319" s="1" t="n">
        <v>45716</v>
      </c>
      <c r="D319" t="inlineStr">
        <is>
          <t>ÖREBRO LÄN</t>
        </is>
      </c>
      <c r="E319" t="inlineStr">
        <is>
          <t>LJUSNARSBERG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15655-2024</t>
        </is>
      </c>
      <c r="B320" s="1" t="n">
        <v>45404</v>
      </c>
      <c r="C320" s="1" t="n">
        <v>45716</v>
      </c>
      <c r="D320" t="inlineStr">
        <is>
          <t>ÖREBRO LÄN</t>
        </is>
      </c>
      <c r="E320" t="inlineStr">
        <is>
          <t>LJUSNARSBERG</t>
        </is>
      </c>
      <c r="G320" t="n">
        <v>7.2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17933-2024</t>
        </is>
      </c>
      <c r="B321" s="1" t="n">
        <v>45419</v>
      </c>
      <c r="C321" s="1" t="n">
        <v>45716</v>
      </c>
      <c r="D321" t="inlineStr">
        <is>
          <t>ÖREBRO LÄN</t>
        </is>
      </c>
      <c r="E321" t="inlineStr">
        <is>
          <t>LJUSNARSBERG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17923-2024</t>
        </is>
      </c>
      <c r="B322" s="1" t="n">
        <v>45419</v>
      </c>
      <c r="C322" s="1" t="n">
        <v>45716</v>
      </c>
      <c r="D322" t="inlineStr">
        <is>
          <t>ÖREBRO LÄN</t>
        </is>
      </c>
      <c r="E322" t="inlineStr">
        <is>
          <t>LJUSNARSBERG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17924-2024</t>
        </is>
      </c>
      <c r="B323" s="1" t="n">
        <v>45419</v>
      </c>
      <c r="C323" s="1" t="n">
        <v>45716</v>
      </c>
      <c r="D323" t="inlineStr">
        <is>
          <t>ÖREBRO LÄN</t>
        </is>
      </c>
      <c r="E323" t="inlineStr">
        <is>
          <t>LJUSNARSBERG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20091-2024</t>
        </is>
      </c>
      <c r="B324" s="1" t="n">
        <v>45434</v>
      </c>
      <c r="C324" s="1" t="n">
        <v>45716</v>
      </c>
      <c r="D324" t="inlineStr">
        <is>
          <t>ÖREBRO LÄN</t>
        </is>
      </c>
      <c r="E324" t="inlineStr">
        <is>
          <t>LJUSNARSBERG</t>
        </is>
      </c>
      <c r="G324" t="n">
        <v>10.5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21963-2024</t>
        </is>
      </c>
      <c r="B325" s="1" t="n">
        <v>45443</v>
      </c>
      <c r="C325" s="1" t="n">
        <v>45716</v>
      </c>
      <c r="D325" t="inlineStr">
        <is>
          <t>ÖREBRO LÄN</t>
        </is>
      </c>
      <c r="E325" t="inlineStr">
        <is>
          <t>LJUSNARSBERG</t>
        </is>
      </c>
      <c r="F325" t="inlineStr">
        <is>
          <t>Bergvik skog väst AB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22887-2024</t>
        </is>
      </c>
      <c r="B326" s="1" t="n">
        <v>45448</v>
      </c>
      <c r="C326" s="1" t="n">
        <v>45716</v>
      </c>
      <c r="D326" t="inlineStr">
        <is>
          <t>ÖREBRO LÄN</t>
        </is>
      </c>
      <c r="E326" t="inlineStr">
        <is>
          <t>LJUSNARSBERG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25174-2024</t>
        </is>
      </c>
      <c r="B327" s="1" t="n">
        <v>45462</v>
      </c>
      <c r="C327" s="1" t="n">
        <v>45716</v>
      </c>
      <c r="D327" t="inlineStr">
        <is>
          <t>ÖREBRO LÄN</t>
        </is>
      </c>
      <c r="E327" t="inlineStr">
        <is>
          <t>LJUSNARSBERG</t>
        </is>
      </c>
      <c r="G327" t="n">
        <v>6.2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25671-2024</t>
        </is>
      </c>
      <c r="B328" s="1" t="n">
        <v>45463</v>
      </c>
      <c r="C328" s="1" t="n">
        <v>45716</v>
      </c>
      <c r="D328" t="inlineStr">
        <is>
          <t>ÖREBRO LÄN</t>
        </is>
      </c>
      <c r="E328" t="inlineStr">
        <is>
          <t>LJUSNARSBERG</t>
        </is>
      </c>
      <c r="G328" t="n">
        <v>5.3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25563-2024</t>
        </is>
      </c>
      <c r="B329" s="1" t="n">
        <v>45463</v>
      </c>
      <c r="C329" s="1" t="n">
        <v>45716</v>
      </c>
      <c r="D329" t="inlineStr">
        <is>
          <t>ÖREBRO LÄN</t>
        </is>
      </c>
      <c r="E329" t="inlineStr">
        <is>
          <t>LJUSNARSBERG</t>
        </is>
      </c>
      <c r="G329" t="n">
        <v>4.9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26260-2024</t>
        </is>
      </c>
      <c r="B330" s="1" t="n">
        <v>45468</v>
      </c>
      <c r="C330" s="1" t="n">
        <v>45716</v>
      </c>
      <c r="D330" t="inlineStr">
        <is>
          <t>ÖREBRO LÄN</t>
        </is>
      </c>
      <c r="E330" t="inlineStr">
        <is>
          <t>LJUSNARSBERG</t>
        </is>
      </c>
      <c r="G330" t="n">
        <v>8.4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28778-2024</t>
        </is>
      </c>
      <c r="B331" s="1" t="n">
        <v>45478</v>
      </c>
      <c r="C331" s="1" t="n">
        <v>45716</v>
      </c>
      <c r="D331" t="inlineStr">
        <is>
          <t>ÖREBRO LÄN</t>
        </is>
      </c>
      <c r="E331" t="inlineStr">
        <is>
          <t>LJUSNARSBERG</t>
        </is>
      </c>
      <c r="F331" t="inlineStr">
        <is>
          <t>Bergvik skog väst AB</t>
        </is>
      </c>
      <c r="G331" t="n">
        <v>5.6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29365-2024</t>
        </is>
      </c>
      <c r="B332" s="1" t="n">
        <v>45483</v>
      </c>
      <c r="C332" s="1" t="n">
        <v>45716</v>
      </c>
      <c r="D332" t="inlineStr">
        <is>
          <t>ÖREBRO LÄN</t>
        </is>
      </c>
      <c r="E332" t="inlineStr">
        <is>
          <t>LJUSNARSBERG</t>
        </is>
      </c>
      <c r="G332" t="n">
        <v>3.3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33197-2024</t>
        </is>
      </c>
      <c r="B333" s="1" t="n">
        <v>45518</v>
      </c>
      <c r="C333" s="1" t="n">
        <v>45716</v>
      </c>
      <c r="D333" t="inlineStr">
        <is>
          <t>ÖREBRO LÄN</t>
        </is>
      </c>
      <c r="E333" t="inlineStr">
        <is>
          <t>LJUSNARSBERG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33193-2024</t>
        </is>
      </c>
      <c r="B334" s="1" t="n">
        <v>45518</v>
      </c>
      <c r="C334" s="1" t="n">
        <v>45716</v>
      </c>
      <c r="D334" t="inlineStr">
        <is>
          <t>ÖREBRO LÄN</t>
        </is>
      </c>
      <c r="E334" t="inlineStr">
        <is>
          <t>LJUSNARSBERG</t>
        </is>
      </c>
      <c r="G334" t="n">
        <v>5.9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33184-2024</t>
        </is>
      </c>
      <c r="B335" s="1" t="n">
        <v>45518</v>
      </c>
      <c r="C335" s="1" t="n">
        <v>45716</v>
      </c>
      <c r="D335" t="inlineStr">
        <is>
          <t>ÖREBRO LÄN</t>
        </is>
      </c>
      <c r="E335" t="inlineStr">
        <is>
          <t>LJUSNARSBERG</t>
        </is>
      </c>
      <c r="G335" t="n">
        <v>9.800000000000001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33607-2024</t>
        </is>
      </c>
      <c r="B336" s="1" t="n">
        <v>45520</v>
      </c>
      <c r="C336" s="1" t="n">
        <v>45716</v>
      </c>
      <c r="D336" t="inlineStr">
        <is>
          <t>ÖREBRO LÄN</t>
        </is>
      </c>
      <c r="E336" t="inlineStr">
        <is>
          <t>LJUSNARSBERG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33934-2024</t>
        </is>
      </c>
      <c r="B337" s="1" t="n">
        <v>45523</v>
      </c>
      <c r="C337" s="1" t="n">
        <v>45716</v>
      </c>
      <c r="D337" t="inlineStr">
        <is>
          <t>ÖREBRO LÄN</t>
        </is>
      </c>
      <c r="E337" t="inlineStr">
        <is>
          <t>LJUSNARSBERG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34712-2024</t>
        </is>
      </c>
      <c r="B338" s="1" t="n">
        <v>45526</v>
      </c>
      <c r="C338" s="1" t="n">
        <v>45716</v>
      </c>
      <c r="D338" t="inlineStr">
        <is>
          <t>ÖREBRO LÄN</t>
        </is>
      </c>
      <c r="E338" t="inlineStr">
        <is>
          <t>LJUSNARSBERG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34914-2024</t>
        </is>
      </c>
      <c r="B339" s="1" t="n">
        <v>45527</v>
      </c>
      <c r="C339" s="1" t="n">
        <v>45716</v>
      </c>
      <c r="D339" t="inlineStr">
        <is>
          <t>ÖREBRO LÄN</t>
        </is>
      </c>
      <c r="E339" t="inlineStr">
        <is>
          <t>LJUSNARSBERG</t>
        </is>
      </c>
      <c r="G339" t="n">
        <v>4.2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34903-2024</t>
        </is>
      </c>
      <c r="B340" s="1" t="n">
        <v>45527</v>
      </c>
      <c r="C340" s="1" t="n">
        <v>45716</v>
      </c>
      <c r="D340" t="inlineStr">
        <is>
          <t>ÖREBRO LÄN</t>
        </is>
      </c>
      <c r="E340" t="inlineStr">
        <is>
          <t>LJUSNARSBERG</t>
        </is>
      </c>
      <c r="G340" t="n">
        <v>11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35378-2024</t>
        </is>
      </c>
      <c r="B341" s="1" t="n">
        <v>45531</v>
      </c>
      <c r="C341" s="1" t="n">
        <v>45716</v>
      </c>
      <c r="D341" t="inlineStr">
        <is>
          <t>ÖREBRO LÄN</t>
        </is>
      </c>
      <c r="E341" t="inlineStr">
        <is>
          <t>LJUSNARSBERG</t>
        </is>
      </c>
      <c r="F341" t="inlineStr">
        <is>
          <t>Bergvik skog väst AB</t>
        </is>
      </c>
      <c r="G341" t="n">
        <v>21.8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35460-2024</t>
        </is>
      </c>
      <c r="B342" s="1" t="n">
        <v>45531</v>
      </c>
      <c r="C342" s="1" t="n">
        <v>45716</v>
      </c>
      <c r="D342" t="inlineStr">
        <is>
          <t>ÖREBRO LÄN</t>
        </is>
      </c>
      <c r="E342" t="inlineStr">
        <is>
          <t>LJUSNARSBERG</t>
        </is>
      </c>
      <c r="F342" t="inlineStr">
        <is>
          <t>Bergvik skog väst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36107-2024</t>
        </is>
      </c>
      <c r="B343" s="1" t="n">
        <v>45534</v>
      </c>
      <c r="C343" s="1" t="n">
        <v>45716</v>
      </c>
      <c r="D343" t="inlineStr">
        <is>
          <t>ÖREBRO LÄN</t>
        </is>
      </c>
      <c r="E343" t="inlineStr">
        <is>
          <t>LJUSNARSBERG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36108-2024</t>
        </is>
      </c>
      <c r="B344" s="1" t="n">
        <v>45534</v>
      </c>
      <c r="C344" s="1" t="n">
        <v>45716</v>
      </c>
      <c r="D344" t="inlineStr">
        <is>
          <t>ÖREBRO LÄN</t>
        </is>
      </c>
      <c r="E344" t="inlineStr">
        <is>
          <t>LJUSNARSBERG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36106-2024</t>
        </is>
      </c>
      <c r="B345" s="1" t="n">
        <v>45534</v>
      </c>
      <c r="C345" s="1" t="n">
        <v>45716</v>
      </c>
      <c r="D345" t="inlineStr">
        <is>
          <t>ÖREBRO LÄN</t>
        </is>
      </c>
      <c r="E345" t="inlineStr">
        <is>
          <t>LJUSNARSBERG</t>
        </is>
      </c>
      <c r="G345" t="n">
        <v>2.7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37849-2024</t>
        </is>
      </c>
      <c r="B346" s="1" t="n">
        <v>45544</v>
      </c>
      <c r="C346" s="1" t="n">
        <v>45716</v>
      </c>
      <c r="D346" t="inlineStr">
        <is>
          <t>ÖREBRO LÄN</t>
        </is>
      </c>
      <c r="E346" t="inlineStr">
        <is>
          <t>LJUSNARSBERG</t>
        </is>
      </c>
      <c r="G346" t="n">
        <v>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38097-2024</t>
        </is>
      </c>
      <c r="B347" s="1" t="n">
        <v>45545</v>
      </c>
      <c r="C347" s="1" t="n">
        <v>45716</v>
      </c>
      <c r="D347" t="inlineStr">
        <is>
          <t>ÖREBRO LÄN</t>
        </is>
      </c>
      <c r="E347" t="inlineStr">
        <is>
          <t>LJUSNARSBERG</t>
        </is>
      </c>
      <c r="G347" t="n">
        <v>1.3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39034-2024</t>
        </is>
      </c>
      <c r="B348" s="1" t="n">
        <v>45548</v>
      </c>
      <c r="C348" s="1" t="n">
        <v>45716</v>
      </c>
      <c r="D348" t="inlineStr">
        <is>
          <t>ÖREBRO LÄN</t>
        </is>
      </c>
      <c r="E348" t="inlineStr">
        <is>
          <t>LJUSNARSBERG</t>
        </is>
      </c>
      <c r="G348" t="n">
        <v>2.8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40442-2024</t>
        </is>
      </c>
      <c r="B349" s="1" t="n">
        <v>45555</v>
      </c>
      <c r="C349" s="1" t="n">
        <v>45716</v>
      </c>
      <c r="D349" t="inlineStr">
        <is>
          <t>ÖREBRO LÄN</t>
        </is>
      </c>
      <c r="E349" t="inlineStr">
        <is>
          <t>LJUSNARSBERG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41603-2024</t>
        </is>
      </c>
      <c r="B350" s="1" t="n">
        <v>45560</v>
      </c>
      <c r="C350" s="1" t="n">
        <v>45716</v>
      </c>
      <c r="D350" t="inlineStr">
        <is>
          <t>ÖREBRO LÄN</t>
        </is>
      </c>
      <c r="E350" t="inlineStr">
        <is>
          <t>LJUSNARSBERG</t>
        </is>
      </c>
      <c r="G350" t="n">
        <v>11.4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43267-2024</t>
        </is>
      </c>
      <c r="B351" s="1" t="n">
        <v>45568</v>
      </c>
      <c r="C351" s="1" t="n">
        <v>45716</v>
      </c>
      <c r="D351" t="inlineStr">
        <is>
          <t>ÖREBRO LÄN</t>
        </is>
      </c>
      <c r="E351" t="inlineStr">
        <is>
          <t>LJUSNARSBERG</t>
        </is>
      </c>
      <c r="G351" t="n">
        <v>2.7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44760-2024</t>
        </is>
      </c>
      <c r="B352" s="1" t="n">
        <v>45574</v>
      </c>
      <c r="C352" s="1" t="n">
        <v>45716</v>
      </c>
      <c r="D352" t="inlineStr">
        <is>
          <t>ÖREBRO LÄN</t>
        </is>
      </c>
      <c r="E352" t="inlineStr">
        <is>
          <t>LJUSNARSBERG</t>
        </is>
      </c>
      <c r="F352" t="inlineStr">
        <is>
          <t>Bergvik skog väst AB</t>
        </is>
      </c>
      <c r="G352" t="n">
        <v>11.4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44780-2024</t>
        </is>
      </c>
      <c r="B353" s="1" t="n">
        <v>45574</v>
      </c>
      <c r="C353" s="1" t="n">
        <v>45716</v>
      </c>
      <c r="D353" t="inlineStr">
        <is>
          <t>ÖREBRO LÄN</t>
        </is>
      </c>
      <c r="E353" t="inlineStr">
        <is>
          <t>LJUSNARSBERG</t>
        </is>
      </c>
      <c r="F353" t="inlineStr">
        <is>
          <t>Bergvik skog väst AB</t>
        </is>
      </c>
      <c r="G353" t="n">
        <v>4.7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44983-2024</t>
        </is>
      </c>
      <c r="B354" s="1" t="n">
        <v>45575</v>
      </c>
      <c r="C354" s="1" t="n">
        <v>45716</v>
      </c>
      <c r="D354" t="inlineStr">
        <is>
          <t>ÖREBRO LÄN</t>
        </is>
      </c>
      <c r="E354" t="inlineStr">
        <is>
          <t>LJUSNARSBERG</t>
        </is>
      </c>
      <c r="F354" t="inlineStr">
        <is>
          <t>Bergvik skog väst AB</t>
        </is>
      </c>
      <c r="G354" t="n">
        <v>8.199999999999999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45536-2024</t>
        </is>
      </c>
      <c r="B355" s="1" t="n">
        <v>45578</v>
      </c>
      <c r="C355" s="1" t="n">
        <v>45716</v>
      </c>
      <c r="D355" t="inlineStr">
        <is>
          <t>ÖREBRO LÄN</t>
        </is>
      </c>
      <c r="E355" t="inlineStr">
        <is>
          <t>LJUSNARSBERG</t>
        </is>
      </c>
      <c r="F355" t="inlineStr">
        <is>
          <t>Bergvik skog väst AB</t>
        </is>
      </c>
      <c r="G355" t="n">
        <v>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45538-2024</t>
        </is>
      </c>
      <c r="B356" s="1" t="n">
        <v>45578</v>
      </c>
      <c r="C356" s="1" t="n">
        <v>45716</v>
      </c>
      <c r="D356" t="inlineStr">
        <is>
          <t>ÖREBRO LÄN</t>
        </is>
      </c>
      <c r="E356" t="inlineStr">
        <is>
          <t>LJUSNARSBERG</t>
        </is>
      </c>
      <c r="F356" t="inlineStr">
        <is>
          <t>Bergvik skog väst AB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45539-2024</t>
        </is>
      </c>
      <c r="B357" s="1" t="n">
        <v>45578</v>
      </c>
      <c r="C357" s="1" t="n">
        <v>45716</v>
      </c>
      <c r="D357" t="inlineStr">
        <is>
          <t>ÖREBRO LÄN</t>
        </is>
      </c>
      <c r="E357" t="inlineStr">
        <is>
          <t>LJUSNARSBERG</t>
        </is>
      </c>
      <c r="F357" t="inlineStr">
        <is>
          <t>Bergvik skog väst AB</t>
        </is>
      </c>
      <c r="G357" t="n">
        <v>4.7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45537-2024</t>
        </is>
      </c>
      <c r="B358" s="1" t="n">
        <v>45578</v>
      </c>
      <c r="C358" s="1" t="n">
        <v>45716</v>
      </c>
      <c r="D358" t="inlineStr">
        <is>
          <t>ÖREBRO LÄN</t>
        </is>
      </c>
      <c r="E358" t="inlineStr">
        <is>
          <t>LJUSNARSBERG</t>
        </is>
      </c>
      <c r="F358" t="inlineStr">
        <is>
          <t>Bergvik skog väst AB</t>
        </is>
      </c>
      <c r="G358" t="n">
        <v>4.3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46812-2024</t>
        </is>
      </c>
      <c r="B359" s="1" t="n">
        <v>45583</v>
      </c>
      <c r="C359" s="1" t="n">
        <v>45716</v>
      </c>
      <c r="D359" t="inlineStr">
        <is>
          <t>ÖREBRO LÄN</t>
        </is>
      </c>
      <c r="E359" t="inlineStr">
        <is>
          <t>LJUSNARSBERG</t>
        </is>
      </c>
      <c r="F359" t="inlineStr">
        <is>
          <t>Bergvik skog väst AB</t>
        </is>
      </c>
      <c r="G359" t="n">
        <v>5.3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46801-2024</t>
        </is>
      </c>
      <c r="B360" s="1" t="n">
        <v>45583</v>
      </c>
      <c r="C360" s="1" t="n">
        <v>45716</v>
      </c>
      <c r="D360" t="inlineStr">
        <is>
          <t>ÖREBRO LÄN</t>
        </is>
      </c>
      <c r="E360" t="inlineStr">
        <is>
          <t>LJUSNARSBERG</t>
        </is>
      </c>
      <c r="F360" t="inlineStr">
        <is>
          <t>Bergvik skog väst AB</t>
        </is>
      </c>
      <c r="G360" t="n">
        <v>16.8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46805-2024</t>
        </is>
      </c>
      <c r="B361" s="1" t="n">
        <v>45583</v>
      </c>
      <c r="C361" s="1" t="n">
        <v>45716</v>
      </c>
      <c r="D361" t="inlineStr">
        <is>
          <t>ÖREBRO LÄN</t>
        </is>
      </c>
      <c r="E361" t="inlineStr">
        <is>
          <t>LJUSNARSBERG</t>
        </is>
      </c>
      <c r="F361" t="inlineStr">
        <is>
          <t>Bergvik skog väst AB</t>
        </is>
      </c>
      <c r="G361" t="n">
        <v>3.1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46809-2024</t>
        </is>
      </c>
      <c r="B362" s="1" t="n">
        <v>45583</v>
      </c>
      <c r="C362" s="1" t="n">
        <v>45716</v>
      </c>
      <c r="D362" t="inlineStr">
        <is>
          <t>ÖREBRO LÄN</t>
        </is>
      </c>
      <c r="E362" t="inlineStr">
        <is>
          <t>LJUSNARSBERG</t>
        </is>
      </c>
      <c r="F362" t="inlineStr">
        <is>
          <t>Bergvik skog väst AB</t>
        </is>
      </c>
      <c r="G362" t="n">
        <v>24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46823-2024</t>
        </is>
      </c>
      <c r="B363" s="1" t="n">
        <v>45583</v>
      </c>
      <c r="C363" s="1" t="n">
        <v>45716</v>
      </c>
      <c r="D363" t="inlineStr">
        <is>
          <t>ÖREBRO LÄN</t>
        </is>
      </c>
      <c r="E363" t="inlineStr">
        <is>
          <t>LJUSNARSBERG</t>
        </is>
      </c>
      <c r="F363" t="inlineStr">
        <is>
          <t>Bergvik skog väst AB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48745-2024</t>
        </is>
      </c>
      <c r="B364" s="1" t="n">
        <v>45593</v>
      </c>
      <c r="C364" s="1" t="n">
        <v>45716</v>
      </c>
      <c r="D364" t="inlineStr">
        <is>
          <t>ÖREBRO LÄN</t>
        </is>
      </c>
      <c r="E364" t="inlineStr">
        <is>
          <t>LJUSNARSBERG</t>
        </is>
      </c>
      <c r="G364" t="n">
        <v>1.5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48780-2024</t>
        </is>
      </c>
      <c r="B365" s="1" t="n">
        <v>45593</v>
      </c>
      <c r="C365" s="1" t="n">
        <v>45716</v>
      </c>
      <c r="D365" t="inlineStr">
        <is>
          <t>ÖREBRO LÄN</t>
        </is>
      </c>
      <c r="E365" t="inlineStr">
        <is>
          <t>LJUSNARSBERG</t>
        </is>
      </c>
      <c r="G365" t="n">
        <v>1.7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52366-2024</t>
        </is>
      </c>
      <c r="B366" s="1" t="n">
        <v>45608</v>
      </c>
      <c r="C366" s="1" t="n">
        <v>45716</v>
      </c>
      <c r="D366" t="inlineStr">
        <is>
          <t>ÖREBRO LÄN</t>
        </is>
      </c>
      <c r="E366" t="inlineStr">
        <is>
          <t>LJUSNARSBERG</t>
        </is>
      </c>
      <c r="F366" t="inlineStr">
        <is>
          <t>Bergvik skog väst AB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52641-2024</t>
        </is>
      </c>
      <c r="B367" s="1" t="n">
        <v>45610</v>
      </c>
      <c r="C367" s="1" t="n">
        <v>45716</v>
      </c>
      <c r="D367" t="inlineStr">
        <is>
          <t>ÖREBRO LÄN</t>
        </is>
      </c>
      <c r="E367" t="inlineStr">
        <is>
          <t>LJUSNARSBERG</t>
        </is>
      </c>
      <c r="F367" t="inlineStr">
        <is>
          <t>Bergvik skog väst AB</t>
        </is>
      </c>
      <c r="G367" t="n">
        <v>32.4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52883-2024</t>
        </is>
      </c>
      <c r="B368" s="1" t="n">
        <v>45610</v>
      </c>
      <c r="C368" s="1" t="n">
        <v>45716</v>
      </c>
      <c r="D368" t="inlineStr">
        <is>
          <t>ÖREBRO LÄN</t>
        </is>
      </c>
      <c r="E368" t="inlineStr">
        <is>
          <t>LJUSNARSBERG</t>
        </is>
      </c>
      <c r="F368" t="inlineStr">
        <is>
          <t>Bergvik skog väst AB</t>
        </is>
      </c>
      <c r="G368" t="n">
        <v>30.7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53031-2024</t>
        </is>
      </c>
      <c r="B369" s="1" t="n">
        <v>45611</v>
      </c>
      <c r="C369" s="1" t="n">
        <v>45716</v>
      </c>
      <c r="D369" t="inlineStr">
        <is>
          <t>ÖREBRO LÄN</t>
        </is>
      </c>
      <c r="E369" t="inlineStr">
        <is>
          <t>LJUSNARSBERG</t>
        </is>
      </c>
      <c r="F369" t="inlineStr">
        <is>
          <t>Bergvik skog väst AB</t>
        </is>
      </c>
      <c r="G369" t="n">
        <v>8.6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53591-2024</t>
        </is>
      </c>
      <c r="B370" s="1" t="n">
        <v>45614</v>
      </c>
      <c r="C370" s="1" t="n">
        <v>45716</v>
      </c>
      <c r="D370" t="inlineStr">
        <is>
          <t>ÖREBRO LÄN</t>
        </is>
      </c>
      <c r="E370" t="inlineStr">
        <is>
          <t>LJUSNARSBERG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53595-2024</t>
        </is>
      </c>
      <c r="B371" s="1" t="n">
        <v>45614</v>
      </c>
      <c r="C371" s="1" t="n">
        <v>45716</v>
      </c>
      <c r="D371" t="inlineStr">
        <is>
          <t>ÖREBRO LÄN</t>
        </is>
      </c>
      <c r="E371" t="inlineStr">
        <is>
          <t>LJUSNARSBERG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53594-2024</t>
        </is>
      </c>
      <c r="B372" s="1" t="n">
        <v>45614</v>
      </c>
      <c r="C372" s="1" t="n">
        <v>45716</v>
      </c>
      <c r="D372" t="inlineStr">
        <is>
          <t>ÖREBRO LÄN</t>
        </is>
      </c>
      <c r="E372" t="inlineStr">
        <is>
          <t>LJUSNARSBERG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53887-2024</t>
        </is>
      </c>
      <c r="B373" s="1" t="n">
        <v>45614</v>
      </c>
      <c r="C373" s="1" t="n">
        <v>45716</v>
      </c>
      <c r="D373" t="inlineStr">
        <is>
          <t>ÖREBRO LÄN</t>
        </is>
      </c>
      <c r="E373" t="inlineStr">
        <is>
          <t>LJUSNARSBERG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53753-2024</t>
        </is>
      </c>
      <c r="B374" s="1" t="n">
        <v>45614</v>
      </c>
      <c r="C374" s="1" t="n">
        <v>45716</v>
      </c>
      <c r="D374" t="inlineStr">
        <is>
          <t>ÖREBRO LÄN</t>
        </is>
      </c>
      <c r="E374" t="inlineStr">
        <is>
          <t>LJUSNARSBERG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53726-2024</t>
        </is>
      </c>
      <c r="B375" s="1" t="n">
        <v>45614</v>
      </c>
      <c r="C375" s="1" t="n">
        <v>45716</v>
      </c>
      <c r="D375" t="inlineStr">
        <is>
          <t>ÖREBRO LÄN</t>
        </is>
      </c>
      <c r="E375" t="inlineStr">
        <is>
          <t>LJUSNARSBERG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53931-2024</t>
        </is>
      </c>
      <c r="B376" s="1" t="n">
        <v>45615</v>
      </c>
      <c r="C376" s="1" t="n">
        <v>45716</v>
      </c>
      <c r="D376" t="inlineStr">
        <is>
          <t>ÖREBRO LÄN</t>
        </is>
      </c>
      <c r="E376" t="inlineStr">
        <is>
          <t>LJUSNARSBERG</t>
        </is>
      </c>
      <c r="G376" t="n">
        <v>3.1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56601-2024</t>
        </is>
      </c>
      <c r="B377" s="1" t="n">
        <v>45625</v>
      </c>
      <c r="C377" s="1" t="n">
        <v>45716</v>
      </c>
      <c r="D377" t="inlineStr">
        <is>
          <t>ÖREBRO LÄN</t>
        </is>
      </c>
      <c r="E377" t="inlineStr">
        <is>
          <t>LJUSNARSBERG</t>
        </is>
      </c>
      <c r="G377" t="n">
        <v>2.5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58103-2024</t>
        </is>
      </c>
      <c r="B378" s="1" t="n">
        <v>45632</v>
      </c>
      <c r="C378" s="1" t="n">
        <v>45716</v>
      </c>
      <c r="D378" t="inlineStr">
        <is>
          <t>ÖREBRO LÄN</t>
        </is>
      </c>
      <c r="E378" t="inlineStr">
        <is>
          <t>LJUSNARSBERG</t>
        </is>
      </c>
      <c r="G378" t="n">
        <v>4.1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59629-2024</t>
        </is>
      </c>
      <c r="B379" s="1" t="n">
        <v>45638</v>
      </c>
      <c r="C379" s="1" t="n">
        <v>45716</v>
      </c>
      <c r="D379" t="inlineStr">
        <is>
          <t>ÖREBRO LÄN</t>
        </is>
      </c>
      <c r="E379" t="inlineStr">
        <is>
          <t>LJUSNARSBERG</t>
        </is>
      </c>
      <c r="G379" t="n">
        <v>1.9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59497-2024</t>
        </is>
      </c>
      <c r="B380" s="1" t="n">
        <v>45638</v>
      </c>
      <c r="C380" s="1" t="n">
        <v>45716</v>
      </c>
      <c r="D380" t="inlineStr">
        <is>
          <t>ÖREBRO LÄN</t>
        </is>
      </c>
      <c r="E380" t="inlineStr">
        <is>
          <t>LJUSNARSBERG</t>
        </is>
      </c>
      <c r="G380" t="n">
        <v>0.3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59630-2024</t>
        </is>
      </c>
      <c r="B381" s="1" t="n">
        <v>45638</v>
      </c>
      <c r="C381" s="1" t="n">
        <v>45716</v>
      </c>
      <c r="D381" t="inlineStr">
        <is>
          <t>ÖREBRO LÄN</t>
        </is>
      </c>
      <c r="E381" t="inlineStr">
        <is>
          <t>LJUSNARSBERG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59627-2024</t>
        </is>
      </c>
      <c r="B382" s="1" t="n">
        <v>45638</v>
      </c>
      <c r="C382" s="1" t="n">
        <v>45716</v>
      </c>
      <c r="D382" t="inlineStr">
        <is>
          <t>ÖREBRO LÄN</t>
        </is>
      </c>
      <c r="E382" t="inlineStr">
        <is>
          <t>LJUSNARSBERG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59495-2024</t>
        </is>
      </c>
      <c r="B383" s="1" t="n">
        <v>45638</v>
      </c>
      <c r="C383" s="1" t="n">
        <v>45716</v>
      </c>
      <c r="D383" t="inlineStr">
        <is>
          <t>ÖREBRO LÄN</t>
        </is>
      </c>
      <c r="E383" t="inlineStr">
        <is>
          <t>LJUSNARSBERG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60711-2024</t>
        </is>
      </c>
      <c r="B384" s="1" t="n">
        <v>45644</v>
      </c>
      <c r="C384" s="1" t="n">
        <v>45716</v>
      </c>
      <c r="D384" t="inlineStr">
        <is>
          <t>ÖREBRO LÄN</t>
        </is>
      </c>
      <c r="E384" t="inlineStr">
        <is>
          <t>LJUSNARSBERG</t>
        </is>
      </c>
      <c r="F384" t="inlineStr">
        <is>
          <t>Bergvik skog väst AB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61794-2024</t>
        </is>
      </c>
      <c r="B385" s="1" t="n">
        <v>45649</v>
      </c>
      <c r="C385" s="1" t="n">
        <v>45716</v>
      </c>
      <c r="D385" t="inlineStr">
        <is>
          <t>ÖREBRO LÄN</t>
        </is>
      </c>
      <c r="E385" t="inlineStr">
        <is>
          <t>LJUSNARSBERG</t>
        </is>
      </c>
      <c r="F385" t="inlineStr">
        <is>
          <t>Bergvik skog väst AB</t>
        </is>
      </c>
      <c r="G385" t="n">
        <v>5.3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120-2025</t>
        </is>
      </c>
      <c r="B386" s="1" t="n">
        <v>45659</v>
      </c>
      <c r="C386" s="1" t="n">
        <v>45716</v>
      </c>
      <c r="D386" t="inlineStr">
        <is>
          <t>ÖREBRO LÄN</t>
        </is>
      </c>
      <c r="E386" t="inlineStr">
        <is>
          <t>LJUSNARSBERG</t>
        </is>
      </c>
      <c r="G386" t="n">
        <v>8.5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121-2025</t>
        </is>
      </c>
      <c r="B387" s="1" t="n">
        <v>45659</v>
      </c>
      <c r="C387" s="1" t="n">
        <v>45716</v>
      </c>
      <c r="D387" t="inlineStr">
        <is>
          <t>ÖREBRO LÄN</t>
        </is>
      </c>
      <c r="E387" t="inlineStr">
        <is>
          <t>LJUSNARSBERG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118-2025</t>
        </is>
      </c>
      <c r="B388" s="1" t="n">
        <v>45659</v>
      </c>
      <c r="C388" s="1" t="n">
        <v>45716</v>
      </c>
      <c r="D388" t="inlineStr">
        <is>
          <t>ÖREBRO LÄN</t>
        </is>
      </c>
      <c r="E388" t="inlineStr">
        <is>
          <t>LJUSNARSBERG</t>
        </is>
      </c>
      <c r="G388" t="n">
        <v>7.4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122-2025</t>
        </is>
      </c>
      <c r="B389" s="1" t="n">
        <v>45659</v>
      </c>
      <c r="C389" s="1" t="n">
        <v>45716</v>
      </c>
      <c r="D389" t="inlineStr">
        <is>
          <t>ÖREBRO LÄN</t>
        </is>
      </c>
      <c r="E389" t="inlineStr">
        <is>
          <t>LJUSNARSBERG</t>
        </is>
      </c>
      <c r="G389" t="n">
        <v>6.5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2675-2025</t>
        </is>
      </c>
      <c r="B390" s="1" t="n">
        <v>45677</v>
      </c>
      <c r="C390" s="1" t="n">
        <v>45716</v>
      </c>
      <c r="D390" t="inlineStr">
        <is>
          <t>ÖREBRO LÄN</t>
        </is>
      </c>
      <c r="E390" t="inlineStr">
        <is>
          <t>LJUSNARSBERG</t>
        </is>
      </c>
      <c r="G390" t="n">
        <v>1.6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6313-2025</t>
        </is>
      </c>
      <c r="B391" s="1" t="n">
        <v>45698</v>
      </c>
      <c r="C391" s="1" t="n">
        <v>45716</v>
      </c>
      <c r="D391" t="inlineStr">
        <is>
          <t>ÖREBRO LÄN</t>
        </is>
      </c>
      <c r="E391" t="inlineStr">
        <is>
          <t>LJUSNARSBERG</t>
        </is>
      </c>
      <c r="G391" t="n">
        <v>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6361-2025</t>
        </is>
      </c>
      <c r="B392" s="1" t="n">
        <v>45699</v>
      </c>
      <c r="C392" s="1" t="n">
        <v>45716</v>
      </c>
      <c r="D392" t="inlineStr">
        <is>
          <t>ÖREBRO LÄN</t>
        </is>
      </c>
      <c r="E392" t="inlineStr">
        <is>
          <t>LJUSNARSBERG</t>
        </is>
      </c>
      <c r="G392" t="n">
        <v>1.8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6351-2025</t>
        </is>
      </c>
      <c r="B393" s="1" t="n">
        <v>45699</v>
      </c>
      <c r="C393" s="1" t="n">
        <v>45716</v>
      </c>
      <c r="D393" t="inlineStr">
        <is>
          <t>ÖREBRO LÄN</t>
        </is>
      </c>
      <c r="E393" t="inlineStr">
        <is>
          <t>LJUSNARSBERG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>
      <c r="A394" t="inlineStr">
        <is>
          <t>A 9301-2025</t>
        </is>
      </c>
      <c r="B394" s="1" t="n">
        <v>45714</v>
      </c>
      <c r="C394" s="1" t="n">
        <v>45716</v>
      </c>
      <c r="D394" t="inlineStr">
        <is>
          <t>ÖREBRO LÄN</t>
        </is>
      </c>
      <c r="E394" t="inlineStr">
        <is>
          <t>LJUSNARSBERG</t>
        </is>
      </c>
      <c r="G394" t="n">
        <v>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2025-02-28T16:00:41Z</dcterms:created>
  <dcterms:modified xmlns:dcterms="http://purl.org/dc/terms/" xmlns:xsi="http://www.w3.org/2001/XMLSchema-instance" xsi:type="dcterms:W3CDTF">2025-02-28T16:00:41Z</dcterms:modified>
</cp:coreProperties>
</file>