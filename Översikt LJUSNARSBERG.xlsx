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46253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46253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46253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46253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46253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46253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46253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46253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46253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46253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46253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46253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46253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Tvåblad
Nattviol</t>
        </is>
      </c>
      <c r="W18">
        <f>HYPERLINK("https://klasma.github.io/Logging_1864/artfynd/A 40854-2025 artfynd.xlsx", "A 40854-2025")</f>
        <v/>
      </c>
      <c r="X18">
        <f>HYPERLINK("https://klasma.github.io/Logging_1864/kartor/A 40854-2025 karta.png", "A 40854-2025")</f>
        <v/>
      </c>
      <c r="Y18">
        <f>HYPERLINK("https://klasma.github.io/Logging_1864/kartor_geotiff/A 40854-2025 georefererad karta.tif", "A 40854-2025")</f>
        <v/>
      </c>
      <c r="AA18">
        <f>HYPERLINK("https://klasma.github.io/Logging_1864/klagomål/A 40854-2025 FSC-klagomål.docx", "A 40854-2025")</f>
        <v/>
      </c>
      <c r="AB18">
        <f>HYPERLINK("https://klasma.github.io/Logging_1864/klagomålsmail/A 40854-2025 FSC-klagomål mail.docx", "A 40854-2025")</f>
        <v/>
      </c>
      <c r="AC18">
        <f>HYPERLINK("https://klasma.github.io/Logging_1864/tillsyn/A 40854-2025 tillsynsbegäran.docx", "A 40854-2025")</f>
        <v/>
      </c>
      <c r="AD18">
        <f>HYPERLINK("https://klasma.github.io/Logging_1864/tillsynsmail/A 40854-2025 tillsynsbegäran mail.docx", "A 40854-2025")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46253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46253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46253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Tjäder</t>
        </is>
      </c>
      <c r="W21">
        <f>HYPERLINK("https://klasma.github.io/Logging_1864/artfynd/A 33193-2024 artfynd.xlsx", "A 33193-2024")</f>
        <v/>
      </c>
      <c r="X21">
        <f>HYPERLINK("https://klasma.github.io/Logging_1864/kartor/A 33193-2024 karta.png", "A 33193-2024")</f>
        <v/>
      </c>
      <c r="Y21">
        <f>HYPERLINK("https://klasma.github.io/Logging_1864/kartor_geotiff/A 33193-2024 georefererad karta.tif", "A 33193-2024")</f>
        <v/>
      </c>
      <c r="AA21">
        <f>HYPERLINK("https://klasma.github.io/Logging_1864/klagomål/A 33193-2024 FSC-klagomål.docx", "A 33193-2024")</f>
        <v/>
      </c>
      <c r="AB21">
        <f>HYPERLINK("https://klasma.github.io/Logging_1864/klagomålsmail/A 33193-2024 FSC-klagomål mail.docx", "A 33193-2024")</f>
        <v/>
      </c>
      <c r="AC21">
        <f>HYPERLINK("https://klasma.github.io/Logging_1864/tillsyn/A 33193-2024 tillsynsbegäran.docx", "A 33193-2024")</f>
        <v/>
      </c>
      <c r="AD21">
        <f>HYPERLINK("https://klasma.github.io/Logging_1864/tillsynsmail/A 33193-2024 tillsynsbegäran mail.docx", "A 33193-2024")</f>
        <v/>
      </c>
      <c r="AE21">
        <f>HYPERLINK("https://klasma.github.io/Logging_1864/fåglar/A 33193-2024 prioriterade fågelarter.docx", "A 33193-2024")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46253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46253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46253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46253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46253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46253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46253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46253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46253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HYPERLINK("https://klasma.github.io/Logging_1864/artfynd/A 39095-2022 artfynd.xlsx", "A 39095-2022")</f>
        <v/>
      </c>
      <c r="X30">
        <f>HYPERLINK("https://klasma.github.io/Logging_1864/kartor/A 39095-2022 karta.png", "A 39095-2022")</f>
        <v/>
      </c>
      <c r="Y30">
        <f>HYPERLINK("https://klasma.github.io/Logging_1864/kartor_geotiff/A 39095-2022 georefererad karta.tif", "A 39095-2022")</f>
        <v/>
      </c>
      <c r="AA30">
        <f>HYPERLINK("https://klasma.github.io/Logging_1864/klagomål/A 39095-2022 FSC-klagomål.docx", "A 39095-2022")</f>
        <v/>
      </c>
      <c r="AB30">
        <f>HYPERLINK("https://klasma.github.io/Logging_1864/klagomålsmail/A 39095-2022 FSC-klagomål mail.docx", "A 39095-2022")</f>
        <v/>
      </c>
      <c r="AC30">
        <f>HYPERLINK("https://klasma.github.io/Logging_1864/tillsyn/A 39095-2022 tillsynsbegäran.docx", "A 39095-2022")</f>
        <v/>
      </c>
      <c r="AD30">
        <f>HYPERLINK("https://klasma.github.io/Logging_1864/tillsynsmail/A 39095-2022 tillsynsbegäran mail.docx", "A 39095-2022")</f>
        <v/>
      </c>
    </row>
    <row r="31" ht="15" customHeight="1">
      <c r="A31" t="inlineStr">
        <is>
          <t>A 45537-2024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45578</v>
      </c>
      <c r="E31" s="1" t="n">
        <v>46253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HYPERLINK("https://klasma.github.io/Logging_1864/artfynd/A 45537-2024 artfynd.xlsx", "A 45537-2024")</f>
        <v/>
      </c>
      <c r="X31">
        <f>HYPERLINK("https://klasma.github.io/Logging_1864/kartor/A 45537-2024 karta.png", "A 45537-2024")</f>
        <v/>
      </c>
      <c r="Y31">
        <f>HYPERLINK("https://klasma.github.io/Logging_1864/kartor_geotiff/A 45537-2024 georefererad karta.tif", "A 45537-2024")</f>
        <v/>
      </c>
      <c r="AA31">
        <f>HYPERLINK("https://klasma.github.io/Logging_1864/klagomål/A 45537-2024 FSC-klagomål.docx", "A 45537-2024")</f>
        <v/>
      </c>
      <c r="AB31">
        <f>HYPERLINK("https://klasma.github.io/Logging_1864/klagomålsmail/A 45537-2024 FSC-klagomål mail.docx", "A 45537-2024")</f>
        <v/>
      </c>
      <c r="AC31">
        <f>HYPERLINK("https://klasma.github.io/Logging_1864/tillsyn/A 45537-2024 tillsynsbegäran.docx", "A 45537-2024")</f>
        <v/>
      </c>
      <c r="AD31">
        <f>HYPERLINK("https://klasma.github.io/Logging_1864/tillsynsmail/A 45537-2024 tillsynsbegäran mail.docx", "A 45537-2024")</f>
        <v/>
      </c>
    </row>
    <row r="32" ht="15" customHeight="1">
      <c r="A32" t="inlineStr">
        <is>
          <t>S 3758-2024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45555</v>
      </c>
      <c r="E32" s="1" t="n">
        <v>46253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Bårdlav</t>
        </is>
      </c>
      <c r="W32">
        <f>HYPERLINK("https://klasma.github.io/Logging_1864/artfynd/S 3758-2024 artfynd.xlsx", "S 3758-2024")</f>
        <v/>
      </c>
      <c r="X32">
        <f>HYPERLINK("https://klasma.github.io/Logging_1864/kartor/S 3758-2024 karta.png", "S 3758-2024")</f>
        <v/>
      </c>
      <c r="Y32">
        <f>HYPERLINK("https://klasma.github.io/Logging_1864/kartor_geotiff/S 3758-2024 georefererad karta.tif", "S 3758-2024")</f>
        <v/>
      </c>
      <c r="AA32">
        <f>HYPERLINK("https://klasma.github.io/Logging_1864/klagomål/S 3758-2024 FSC-klagomål.docx", "S 3758-2024")</f>
        <v/>
      </c>
      <c r="AB32">
        <f>HYPERLINK("https://klasma.github.io/Logging_1864/klagomålsmail/S 3758-2024 FSC-klagomål mail.docx", "S 3758-2024")</f>
        <v/>
      </c>
      <c r="AC32">
        <f>HYPERLINK("https://klasma.github.io/Logging_1864/tillsyn/S 3758-2024 tillsynsbegäran.docx", "S 3758-2024")</f>
        <v/>
      </c>
      <c r="AD32">
        <f>HYPERLINK("https://klasma.github.io/Logging_1864/tillsynsmail/S 3758-2024 tillsynsbegäran mail.docx", "S 3758-2024")</f>
        <v/>
      </c>
    </row>
    <row r="33" ht="15" customHeight="1">
      <c r="A33" t="inlineStr">
        <is>
          <t>A 64400-2021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46253</v>
      </c>
      <c r="F33" t="inlineStr">
        <is>
          <t>ÖREBRO LÄN</t>
        </is>
      </c>
      <c r="G33" t="inlineStr">
        <is>
          <t>LJUSNARSBERG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44858-2021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44438</v>
      </c>
      <c r="E34" s="1" t="n">
        <v>46253</v>
      </c>
      <c r="F34" t="inlineStr">
        <is>
          <t>ÖREBRO LÄN</t>
        </is>
      </c>
      <c r="G34" t="inlineStr">
        <is>
          <t>LJUSNARSBERG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46253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46253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64978-2021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44513</v>
      </c>
      <c r="E37" s="1" t="n">
        <v>46253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46253</v>
      </c>
      <c r="F38" t="inlineStr">
        <is>
          <t>ÖREBRO LÄN</t>
        </is>
      </c>
      <c r="G38" t="inlineStr">
        <is>
          <t>LJUSNARSBERG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44293-2021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44435</v>
      </c>
      <c r="E39" s="1" t="n">
        <v>46253</v>
      </c>
      <c r="F39" t="inlineStr">
        <is>
          <t>ÖREBRO LÄN</t>
        </is>
      </c>
      <c r="G39" t="inlineStr">
        <is>
          <t>LJUSNARSBERG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44595</v>
      </c>
      <c r="E40" s="1" t="n">
        <v>46253</v>
      </c>
      <c r="F40" t="inlineStr">
        <is>
          <t>ÖREBRO LÄN</t>
        </is>
      </c>
      <c r="G40" t="inlineStr">
        <is>
          <t>LJUSNARSBERG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46253</v>
      </c>
      <c r="F41" t="inlineStr">
        <is>
          <t>ÖREBRO LÄN</t>
        </is>
      </c>
      <c r="G41" t="inlineStr">
        <is>
          <t>LJUSNARSBERG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46253</v>
      </c>
      <c r="F42" t="inlineStr">
        <is>
          <t>ÖREBRO LÄN</t>
        </is>
      </c>
      <c r="G42" t="inlineStr">
        <is>
          <t>LJUSNARSBERG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46253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46253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44282-2021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44435</v>
      </c>
      <c r="E45" s="1" t="n">
        <v>46253</v>
      </c>
      <c r="F45" t="inlineStr">
        <is>
          <t>ÖREBRO LÄN</t>
        </is>
      </c>
      <c r="G45" t="inlineStr">
        <is>
          <t>LJUSNARSBERG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46253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31998-2022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44778</v>
      </c>
      <c r="E47" s="1" t="n">
        <v>46253</v>
      </c>
      <c r="F47" t="inlineStr">
        <is>
          <t>ÖREBRO LÄN</t>
        </is>
      </c>
      <c r="G47" t="inlineStr">
        <is>
          <t>LJUSNARSBERG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46253</v>
      </c>
      <c r="F48" t="inlineStr">
        <is>
          <t>ÖREBRO LÄN</t>
        </is>
      </c>
      <c r="G48" t="inlineStr">
        <is>
          <t>LJUSNARSBERG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45764</v>
      </c>
      <c r="E49" s="1" t="n">
        <v>46253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46253</v>
      </c>
      <c r="F50" t="inlineStr">
        <is>
          <t>ÖREBRO LÄN</t>
        </is>
      </c>
      <c r="G50" t="inlineStr">
        <is>
          <t>LJUSNARSBERG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13803-2024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46253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17.8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46253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45574</v>
      </c>
      <c r="E53" s="1" t="n">
        <v>46253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46253</v>
      </c>
      <c r="F54" t="inlineStr">
        <is>
          <t>ÖREBRO LÄN</t>
        </is>
      </c>
      <c r="G54" t="inlineStr">
        <is>
          <t>LJUSNARSBERG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46253</v>
      </c>
      <c r="F55" t="inlineStr">
        <is>
          <t>ÖREBRO LÄN</t>
        </is>
      </c>
      <c r="G55" t="inlineStr">
        <is>
          <t>LJUSNARSBERG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46253</v>
      </c>
      <c r="F56" t="inlineStr">
        <is>
          <t>ÖREBRO LÄN</t>
        </is>
      </c>
      <c r="G56" t="inlineStr">
        <is>
          <t>LJUSNARSBERG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45347</v>
      </c>
      <c r="E57" s="1" t="n">
        <v>46253</v>
      </c>
      <c r="F57" t="inlineStr">
        <is>
          <t>ÖREBRO LÄN</t>
        </is>
      </c>
      <c r="G57" t="inlineStr">
        <is>
          <t>LJUSNARSBERG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46253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45124</v>
      </c>
      <c r="E59" s="1" t="n">
        <v>46253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46253</v>
      </c>
      <c r="F60" t="inlineStr">
        <is>
          <t>ÖREBRO LÄN</t>
        </is>
      </c>
      <c r="G60" t="inlineStr">
        <is>
          <t>LJUSNARSBERG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59497-2024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45638</v>
      </c>
      <c r="E61" s="1" t="n">
        <v>46253</v>
      </c>
      <c r="F61" t="inlineStr">
        <is>
          <t>ÖREBRO LÄN</t>
        </is>
      </c>
      <c r="G61" t="inlineStr">
        <is>
          <t>LJUSNARSBERG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46253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46253</v>
      </c>
      <c r="F63" t="inlineStr">
        <is>
          <t>ÖREBRO LÄN</t>
        </is>
      </c>
      <c r="G63" t="inlineStr">
        <is>
          <t>LJUSNARSBERG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46253</v>
      </c>
      <c r="F64" t="inlineStr">
        <is>
          <t>ÖREBRO LÄN</t>
        </is>
      </c>
      <c r="G64" t="inlineStr">
        <is>
          <t>LJUSNARSBERG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45807</v>
      </c>
      <c r="E65" s="1" t="n">
        <v>46253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20673-2025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45776</v>
      </c>
      <c r="E66" s="1" t="n">
        <v>46253</v>
      </c>
      <c r="F66" t="inlineStr">
        <is>
          <t>ÖREBRO LÄN</t>
        </is>
      </c>
      <c r="G66" t="inlineStr">
        <is>
          <t>LJUSNARSBERG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45578</v>
      </c>
      <c r="E67" s="1" t="n">
        <v>46253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45574</v>
      </c>
      <c r="E68" s="1" t="n">
        <v>46253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46253</v>
      </c>
      <c r="F69" t="inlineStr">
        <is>
          <t>ÖREBRO LÄN</t>
        </is>
      </c>
      <c r="G69" t="inlineStr">
        <is>
          <t>LJUSNARSBERG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46049</v>
      </c>
      <c r="E70" s="1" t="n">
        <v>46253</v>
      </c>
      <c r="F70" t="inlineStr">
        <is>
          <t>ÖREBRO LÄN</t>
        </is>
      </c>
      <c r="G70" t="inlineStr">
        <is>
          <t>LJUSNARSBERG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45575</v>
      </c>
      <c r="E71" s="1" t="n">
        <v>46253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59630-2024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45638</v>
      </c>
      <c r="E72" s="1" t="n">
        <v>46253</v>
      </c>
      <c r="F72" t="inlineStr">
        <is>
          <t>ÖREBRO LÄN</t>
        </is>
      </c>
      <c r="G72" t="inlineStr">
        <is>
          <t>LJUSNARSBERG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46253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46253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46253</v>
      </c>
      <c r="F75" t="inlineStr">
        <is>
          <t>ÖREBRO LÄN</t>
        </is>
      </c>
      <c r="G75" t="inlineStr">
        <is>
          <t>LJUSNARSBERG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45827</v>
      </c>
      <c r="E76" s="1" t="n">
        <v>46253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46253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46253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46253</v>
      </c>
      <c r="F79" t="inlineStr">
        <is>
          <t>ÖREBRO LÄN</t>
        </is>
      </c>
      <c r="G79" t="inlineStr">
        <is>
          <t>LJUSNARSBERG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46253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46253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46253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46253</v>
      </c>
      <c r="F83" t="inlineStr">
        <is>
          <t>ÖREBRO LÄN</t>
        </is>
      </c>
      <c r="G83" t="inlineStr">
        <is>
          <t>LJUSNARSBERG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41032-2025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46253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25574-2023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45089</v>
      </c>
      <c r="E85" s="1" t="n">
        <v>46253</v>
      </c>
      <c r="F85" t="inlineStr">
        <is>
          <t>ÖREBRO LÄN</t>
        </is>
      </c>
      <c r="G85" t="inlineStr">
        <is>
          <t>LJUSNARSBERG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46253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46253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46253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46253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40964-2025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46253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45085</v>
      </c>
      <c r="E91" s="1" t="n">
        <v>46253</v>
      </c>
      <c r="F91" t="inlineStr">
        <is>
          <t>ÖREBRO LÄN</t>
        </is>
      </c>
      <c r="G91" t="inlineStr">
        <is>
          <t>LJUSNARSBERG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46253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46253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46253</v>
      </c>
      <c r="F94" t="inlineStr">
        <is>
          <t>ÖREBRO LÄN</t>
        </is>
      </c>
      <c r="G94" t="inlineStr">
        <is>
          <t>LJUSNARSBERG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46253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33622-2025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46253</v>
      </c>
      <c r="F96" t="inlineStr">
        <is>
          <t>ÖREBRO LÄN</t>
        </is>
      </c>
      <c r="G96" t="inlineStr">
        <is>
          <t>LJUSNARSBERG</t>
        </is>
      </c>
      <c r="H96" t="inlineStr">
        <is>
          <t>Kyrkan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46253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46253</v>
      </c>
      <c r="F98" t="inlineStr">
        <is>
          <t>ÖREBRO LÄN</t>
        </is>
      </c>
      <c r="G98" t="inlineStr">
        <is>
          <t>LJUSNARSBERG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46253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46492-2025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45925</v>
      </c>
      <c r="E100" s="1" t="n">
        <v>46253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46253</v>
      </c>
      <c r="F101" t="inlineStr">
        <is>
          <t>ÖREBRO LÄN</t>
        </is>
      </c>
      <c r="G101" t="inlineStr">
        <is>
          <t>LJUSNARSBERG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46253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46253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46253</v>
      </c>
      <c r="F104" t="inlineStr">
        <is>
          <t>ÖREBRO LÄN</t>
        </is>
      </c>
      <c r="G104" t="inlineStr">
        <is>
          <t>LJUSNARSBERG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46253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46253</v>
      </c>
      <c r="F106" t="inlineStr">
        <is>
          <t>ÖREBRO LÄN</t>
        </is>
      </c>
      <c r="G106" t="inlineStr">
        <is>
          <t>LJUSNARSBERG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46253</v>
      </c>
      <c r="F107" t="inlineStr">
        <is>
          <t>ÖREBRO LÄN</t>
        </is>
      </c>
      <c r="G107" t="inlineStr">
        <is>
          <t>LJUSNARSBERG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46253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46253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46253</v>
      </c>
      <c r="F110" t="inlineStr">
        <is>
          <t>ÖREBRO LÄN</t>
        </is>
      </c>
      <c r="G110" t="inlineStr">
        <is>
          <t>LJUSNARSBERG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44734</v>
      </c>
      <c r="E111" s="1" t="n">
        <v>46253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46253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46253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48573-2025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46253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45933</v>
      </c>
      <c r="E115" s="1" t="n">
        <v>46253</v>
      </c>
      <c r="F115" t="inlineStr">
        <is>
          <t>ÖREBRO LÄN</t>
        </is>
      </c>
      <c r="G115" t="inlineStr">
        <is>
          <t>LJUSNARSBERG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46253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45946</v>
      </c>
      <c r="E117" s="1" t="n">
        <v>46253</v>
      </c>
      <c r="F117" t="inlineStr">
        <is>
          <t>ÖREBRO LÄN</t>
        </is>
      </c>
      <c r="G117" t="inlineStr">
        <is>
          <t>LJUSNARSBERG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46253</v>
      </c>
      <c r="F118" t="inlineStr">
        <is>
          <t>ÖREBRO LÄN</t>
        </is>
      </c>
      <c r="G118" t="inlineStr">
        <is>
          <t>LJUSNARSBERG</t>
        </is>
      </c>
      <c r="I118" t="n">
        <v>10.8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44565</v>
      </c>
      <c r="E119" s="1" t="n">
        <v>46253</v>
      </c>
      <c r="F119" t="inlineStr">
        <is>
          <t>ÖREBRO LÄN</t>
        </is>
      </c>
      <c r="G119" t="inlineStr">
        <is>
          <t>LJUSNARSBERG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45659</v>
      </c>
      <c r="E120" s="1" t="n">
        <v>46253</v>
      </c>
      <c r="F120" t="inlineStr">
        <is>
          <t>ÖREBRO LÄN</t>
        </is>
      </c>
      <c r="G120" t="inlineStr">
        <is>
          <t>LJUSNARSBERG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46133</v>
      </c>
      <c r="E121" s="1" t="n">
        <v>46253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52489-2022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44874</v>
      </c>
      <c r="E122" s="1" t="n">
        <v>46253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46253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46253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46253</v>
      </c>
      <c r="F125" t="inlineStr">
        <is>
          <t>ÖREBRO LÄN</t>
        </is>
      </c>
      <c r="G125" t="inlineStr">
        <is>
          <t>LJUSNARSBERG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46263-2021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44442</v>
      </c>
      <c r="E126" s="1" t="n">
        <v>46253</v>
      </c>
      <c r="F126" t="inlineStr">
        <is>
          <t>ÖREBRO LÄN</t>
        </is>
      </c>
      <c r="G126" t="inlineStr">
        <is>
          <t>LJUSNARSBERG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46253</v>
      </c>
      <c r="F127" t="inlineStr">
        <is>
          <t>ÖREBRO LÄN</t>
        </is>
      </c>
      <c r="G127" t="inlineStr">
        <is>
          <t>LJUSNARSBERG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44917</v>
      </c>
      <c r="E128" s="1" t="n">
        <v>46253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44788-2021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44438</v>
      </c>
      <c r="E129" s="1" t="n">
        <v>46253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45086</v>
      </c>
      <c r="E130" s="1" t="n">
        <v>46253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46253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45980</v>
      </c>
      <c r="E132" s="1" t="n">
        <v>46253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46253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46253</v>
      </c>
      <c r="F134" t="inlineStr">
        <is>
          <t>ÖREBRO LÄN</t>
        </is>
      </c>
      <c r="G134" t="inlineStr">
        <is>
          <t>LJUSNARSBERG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46085-2024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45581</v>
      </c>
      <c r="E135" s="1" t="n">
        <v>46253</v>
      </c>
      <c r="F135" t="inlineStr">
        <is>
          <t>ÖREBRO LÄN</t>
        </is>
      </c>
      <c r="G135" t="inlineStr">
        <is>
          <t>LJUSNARSBERG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46253</v>
      </c>
      <c r="F136" t="inlineStr">
        <is>
          <t>ÖREBRO LÄN</t>
        </is>
      </c>
      <c r="G136" t="inlineStr">
        <is>
          <t>LJUSNARSBERG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46253</v>
      </c>
      <c r="F137" t="inlineStr">
        <is>
          <t>ÖREBRO LÄN</t>
        </is>
      </c>
      <c r="G137" t="inlineStr">
        <is>
          <t>LJUSNARSBERG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67746-2021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44524</v>
      </c>
      <c r="E138" s="1" t="n">
        <v>46253</v>
      </c>
      <c r="F138" t="inlineStr">
        <is>
          <t>ÖREBRO LÄN</t>
        </is>
      </c>
      <c r="G138" t="inlineStr">
        <is>
          <t>LJUSNARSBERG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46253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46253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45581</v>
      </c>
      <c r="E141" s="1" t="n">
        <v>46253</v>
      </c>
      <c r="F141" t="inlineStr">
        <is>
          <t>ÖREBRO LÄN</t>
        </is>
      </c>
      <c r="G141" t="inlineStr">
        <is>
          <t>LJUSNARSBERG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46253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21186-2026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46146</v>
      </c>
      <c r="E143" s="1" t="n">
        <v>46253</v>
      </c>
      <c r="F143" t="inlineStr">
        <is>
          <t>ÖREBRO LÄN</t>
        </is>
      </c>
      <c r="G143" t="inlineStr">
        <is>
          <t>LJUSNARSBERG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46253</v>
      </c>
      <c r="F144" t="inlineStr">
        <is>
          <t>ÖREBRO LÄN</t>
        </is>
      </c>
      <c r="G144" t="inlineStr">
        <is>
          <t>LJUSNARSBERG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46253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47017-2025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46253</v>
      </c>
      <c r="F146" t="inlineStr">
        <is>
          <t>ÖREBRO LÄN</t>
        </is>
      </c>
      <c r="G146" t="inlineStr">
        <is>
          <t>LJUSNARSBERG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46253</v>
      </c>
      <c r="F147" t="inlineStr">
        <is>
          <t>ÖREBRO LÄN</t>
        </is>
      </c>
      <c r="G147" t="inlineStr">
        <is>
          <t>LJUSNARSBERG</t>
        </is>
      </c>
      <c r="I147" t="n">
        <v>14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46253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46253</v>
      </c>
      <c r="F149" t="inlineStr">
        <is>
          <t>ÖREBRO LÄN</t>
        </is>
      </c>
      <c r="G149" t="inlineStr">
        <is>
          <t>LJUSNARSBERG</t>
        </is>
      </c>
      <c r="H149" t="inlineStr">
        <is>
          <t>Kommuner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25671-2024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45463</v>
      </c>
      <c r="E150" s="1" t="n">
        <v>46253</v>
      </c>
      <c r="F150" t="inlineStr">
        <is>
          <t>ÖREBRO LÄN</t>
        </is>
      </c>
      <c r="G150" t="inlineStr">
        <is>
          <t>LJUSNARSBERG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45614</v>
      </c>
      <c r="E151" s="1" t="n">
        <v>46253</v>
      </c>
      <c r="F151" t="inlineStr">
        <is>
          <t>ÖREBRO LÄN</t>
        </is>
      </c>
      <c r="G151" t="inlineStr">
        <is>
          <t>LJUSNARSBERG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46253</v>
      </c>
      <c r="F152" t="inlineStr">
        <is>
          <t>ÖREBRO LÄN</t>
        </is>
      </c>
      <c r="G152" t="inlineStr">
        <is>
          <t>LJUSNARSBERG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46253</v>
      </c>
      <c r="F153" t="inlineStr">
        <is>
          <t>ÖREBRO LÄN</t>
        </is>
      </c>
      <c r="G153" t="inlineStr">
        <is>
          <t>LJUSNARSBERG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46253</v>
      </c>
      <c r="F154" t="inlineStr">
        <is>
          <t>ÖREBRO LÄN</t>
        </is>
      </c>
      <c r="G154" t="inlineStr">
        <is>
          <t>LJUSNARSBERG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46253</v>
      </c>
      <c r="F155" t="inlineStr">
        <is>
          <t>ÖREBRO LÄN</t>
        </is>
      </c>
      <c r="G155" t="inlineStr">
        <is>
          <t>LJUSNARSBERG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46253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45649</v>
      </c>
      <c r="E157" s="1" t="n">
        <v>46253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46253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46167</v>
      </c>
      <c r="E159" s="1" t="n">
        <v>46253</v>
      </c>
      <c r="F159" t="inlineStr">
        <is>
          <t>ÖREBRO LÄN</t>
        </is>
      </c>
      <c r="G159" t="inlineStr">
        <is>
          <t>LJUSNARSBERG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46253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46253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44694</v>
      </c>
      <c r="E162" s="1" t="n">
        <v>46253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33976-2023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45124</v>
      </c>
      <c r="E163" s="1" t="n">
        <v>46253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46253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46253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45239</v>
      </c>
      <c r="E166" s="1" t="n">
        <v>46253</v>
      </c>
      <c r="F166" t="inlineStr">
        <is>
          <t>ÖREBRO LÄN</t>
        </is>
      </c>
      <c r="G166" t="inlineStr">
        <is>
          <t>LJUSNARSBERG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44790</v>
      </c>
      <c r="E167" s="1" t="n">
        <v>46253</v>
      </c>
      <c r="F167" t="inlineStr">
        <is>
          <t>ÖREBRO LÄN</t>
        </is>
      </c>
      <c r="G167" t="inlineStr">
        <is>
          <t>LJUSNARSBERG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45155</v>
      </c>
      <c r="E168" s="1" t="n">
        <v>46253</v>
      </c>
      <c r="F168" t="inlineStr">
        <is>
          <t>ÖREBRO LÄN</t>
        </is>
      </c>
      <c r="G168" t="inlineStr">
        <is>
          <t>LJUSNARSBERG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46253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44999</v>
      </c>
      <c r="E170" s="1" t="n">
        <v>46253</v>
      </c>
      <c r="F170" t="inlineStr">
        <is>
          <t>ÖREBRO LÄN</t>
        </is>
      </c>
      <c r="G170" t="inlineStr">
        <is>
          <t>LJUSNARSBERG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46253</v>
      </c>
      <c r="F171" t="inlineStr">
        <is>
          <t>ÖREBRO LÄN</t>
        </is>
      </c>
      <c r="G171" t="inlineStr">
        <is>
          <t>LJUSNARSBERG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46253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46253</v>
      </c>
      <c r="F173" t="inlineStr">
        <is>
          <t>ÖREBRO LÄN</t>
        </is>
      </c>
      <c r="G173" t="inlineStr">
        <is>
          <t>LJUSNARSBERG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62843-2021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46253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46253</v>
      </c>
      <c r="F175" t="inlineStr">
        <is>
          <t>ÖREBRO LÄN</t>
        </is>
      </c>
      <c r="G175" t="inlineStr">
        <is>
          <t>LJUSNARSBERG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46253</v>
      </c>
      <c r="F176" t="inlineStr">
        <is>
          <t>ÖREBRO LÄN</t>
        </is>
      </c>
      <c r="G176" t="inlineStr">
        <is>
          <t>LJUSNARSBERG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46253</v>
      </c>
      <c r="F177" t="inlineStr">
        <is>
          <t>ÖREBRO LÄN</t>
        </is>
      </c>
      <c r="G177" t="inlineStr">
        <is>
          <t>LJUSNARSBERG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46247</v>
      </c>
      <c r="E178" s="1" t="n">
        <v>46253</v>
      </c>
      <c r="F178" t="inlineStr">
        <is>
          <t>ÖREBRO LÄN</t>
        </is>
      </c>
      <c r="G178" t="inlineStr">
        <is>
          <t>LJUSNARSBERG</t>
        </is>
      </c>
      <c r="H178" t="inlineStr">
        <is>
          <t>Kyrkan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46253</v>
      </c>
      <c r="F179" t="inlineStr">
        <is>
          <t>ÖREBRO LÄN</t>
        </is>
      </c>
      <c r="G179" t="inlineStr">
        <is>
          <t>LJUSNARSBERG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46251</v>
      </c>
      <c r="E180" s="1" t="n">
        <v>46253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45035</v>
      </c>
      <c r="E181" s="1" t="n">
        <v>46253</v>
      </c>
      <c r="F181" t="inlineStr">
        <is>
          <t>ÖREBRO LÄN</t>
        </is>
      </c>
      <c r="G181" t="inlineStr">
        <is>
          <t>LJUSNARSBERG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46253</v>
      </c>
      <c r="F182" t="inlineStr">
        <is>
          <t>ÖREBRO LÄN</t>
        </is>
      </c>
      <c r="G182" t="inlineStr">
        <is>
          <t>LJUSNARSBERG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46253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45030</v>
      </c>
      <c r="E184" s="1" t="n">
        <v>46253</v>
      </c>
      <c r="F184" t="inlineStr">
        <is>
          <t>ÖREBRO LÄN</t>
        </is>
      </c>
      <c r="G184" t="inlineStr">
        <is>
          <t>LJUSNARSBERG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45578</v>
      </c>
      <c r="E185" s="1" t="n">
        <v>46253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46253</v>
      </c>
      <c r="F186" t="inlineStr">
        <is>
          <t>ÖREBRO LÄN</t>
        </is>
      </c>
      <c r="G186" t="inlineStr">
        <is>
          <t>LJUSNARSBERG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46253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44690</v>
      </c>
      <c r="E188" s="1" t="n">
        <v>46253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59495-2024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45638</v>
      </c>
      <c r="E189" s="1" t="n">
        <v>46253</v>
      </c>
      <c r="F189" t="inlineStr">
        <is>
          <t>ÖREBRO LÄN</t>
        </is>
      </c>
      <c r="G189" t="inlineStr">
        <is>
          <t>LJUSNARSBERG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62810-2021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46253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46253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46253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45387</v>
      </c>
      <c r="E193" s="1" t="n">
        <v>46253</v>
      </c>
      <c r="F193" t="inlineStr">
        <is>
          <t>ÖREBRO LÄN</t>
        </is>
      </c>
      <c r="G193" t="inlineStr">
        <is>
          <t>LJUSNARSBERG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45698</v>
      </c>
      <c r="E194" s="1" t="n">
        <v>46253</v>
      </c>
      <c r="F194" t="inlineStr">
        <is>
          <t>ÖREBRO LÄN</t>
        </is>
      </c>
      <c r="G194" t="inlineStr">
        <is>
          <t>LJUSNARSBERG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45593</v>
      </c>
      <c r="E195" s="1" t="n">
        <v>46253</v>
      </c>
      <c r="F195" t="inlineStr">
        <is>
          <t>ÖREBRO LÄN</t>
        </is>
      </c>
      <c r="G195" t="inlineStr">
        <is>
          <t>LJUSNARSBERG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46253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46253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46253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46253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46253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46253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46253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46253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46253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46253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7278-2021</t>
        </is>
      </c>
      <c r="B206" t="inlineStr">
        <is>
          <t>samrådsanmälan</t>
        </is>
      </c>
      <c r="C206" t="inlineStr">
        <is>
          <t>Åtgärd i nyckelbiotop</t>
        </is>
      </c>
      <c r="D206" s="1" t="n">
        <v>44467</v>
      </c>
      <c r="E206" s="1" t="n">
        <v>46253</v>
      </c>
      <c r="F206" t="inlineStr">
        <is>
          <t>ÖREBRO LÄN</t>
        </is>
      </c>
      <c r="G206" t="inlineStr">
        <is>
          <t>LJUSNARSBERG</t>
        </is>
      </c>
      <c r="H206" t="inlineStr">
        <is>
          <t>Kommuner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46253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7277-2021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46253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2836-2023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45167</v>
      </c>
      <c r="E209" s="1" t="n">
        <v>46253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707-2025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45720</v>
      </c>
      <c r="E210" s="1" t="n">
        <v>46253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162.6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1972-2025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45832</v>
      </c>
      <c r="E211" s="1" t="n">
        <v>46253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3578-2025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46010</v>
      </c>
      <c r="E212" s="1" t="n">
        <v>46253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603-2026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46085</v>
      </c>
      <c r="E213" s="1" t="n">
        <v>46253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125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1743-2026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46185</v>
      </c>
      <c r="E214" s="1" t="n">
        <v>46253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46253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2026-08-19T01:44:36Z</dcterms:created>
  <dcterms:modified xmlns:dcterms="http://purl.org/dc/terms/" xmlns:xsi="http://www.w3.org/2001/XMLSchema-instance" xsi:type="dcterms:W3CDTF">2026-08-19T01:44:36Z</dcterms:modified>
</cp:coreProperties>
</file>