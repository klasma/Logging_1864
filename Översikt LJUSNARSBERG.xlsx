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46219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46219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46219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46219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46219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46219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46219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46219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s="2" t="inlineStr">
        <is>
          <t>Motaggsvamp
Tallriska
Tretåig hackspett
Vedtrappmossa
Bollvitmossa</t>
        </is>
      </c>
      <c r="V9">
        <f>HYPERLINK("https://klasma.github.io/Logging_1864/artfynd/A 65217-2021 artfynd.xlsx", "A 65217-2021")</f>
        <v/>
      </c>
      <c r="W9">
        <f>HYPERLINK("https://klasma.github.io/Logging_1864/kartor/A 65217-2021 karta.png", "A 65217-2021")</f>
        <v/>
      </c>
      <c r="Y9">
        <f>HYPERLINK("https://klasma.github.io/Logging_1864/klagomål/A 65217-2021 FSC-klagomål.docx", "A 65217-2021")</f>
        <v/>
      </c>
      <c r="Z9">
        <f>HYPERLINK("https://klasma.github.io/Logging_1864/klagomålsmail/A 65217-2021 FSC-klagomål mail.docx", "A 65217-2021")</f>
        <v/>
      </c>
      <c r="AA9">
        <f>HYPERLINK("https://klasma.github.io/Logging_1864/tillsyn/A 65217-2021 tillsynsbegäran.docx", "A 65217-2021")</f>
        <v/>
      </c>
      <c r="AB9">
        <f>HYPERLINK("https://klasma.github.io/Logging_1864/tillsynsmail/A 65217-2021 tillsynsbegäran mail.docx", "A 65217-2021")</f>
        <v/>
      </c>
      <c r="AC9">
        <f>HYPERLINK("https://klasma.github.io/Logging_1864/fåglar/A 65217-2021 prioriterade fågelarter.docx", "A 65217-2021")</f>
        <v/>
      </c>
    </row>
    <row r="10" ht="15" customHeight="1">
      <c r="A10" t="inlineStr">
        <is>
          <t>A 41623-2024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45560</v>
      </c>
      <c r="E10" s="1" t="n">
        <v>46219</v>
      </c>
      <c r="F10" t="inlineStr">
        <is>
          <t>ÖREBRO LÄN</t>
        </is>
      </c>
      <c r="G10" t="inlineStr">
        <is>
          <t>LJUSNARSBERG</t>
        </is>
      </c>
      <c r="I10" t="n">
        <v>0.5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5</v>
      </c>
      <c r="U10" s="2" t="inlineStr">
        <is>
          <t>Skuggmalmätare
Brunbandad malmätare
Brunflammig fältmätare
Glimmalmätare
Gullpudra</t>
        </is>
      </c>
      <c r="V10">
        <f>HYPERLINK("https://klasma.github.io/Logging_1864/artfynd/A 41623-2024 artfynd.xlsx", "A 41623-2024")</f>
        <v/>
      </c>
      <c r="W10">
        <f>HYPERLINK("https://klasma.github.io/Logging_1864/kartor/A 41623-2024 karta.png", "A 41623-2024")</f>
        <v/>
      </c>
      <c r="Y10">
        <f>HYPERLINK("https://klasma.github.io/Logging_1864/klagomål/A 41623-2024 FSC-klagomål.docx", "A 41623-2024")</f>
        <v/>
      </c>
      <c r="Z10">
        <f>HYPERLINK("https://klasma.github.io/Logging_1864/klagomålsmail/A 41623-2024 FSC-klagomål mail.docx", "A 41623-2024")</f>
        <v/>
      </c>
      <c r="AA10">
        <f>HYPERLINK("https://klasma.github.io/Logging_1864/tillsyn/A 41623-2024 tillsynsbegäran.docx", "A 41623-2024")</f>
        <v/>
      </c>
      <c r="AB10">
        <f>HYPERLINK("https://klasma.github.io/Logging_1864/tillsynsmail/A 41623-2024 tillsynsbegäran mail.docx", "A 41623-2024")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46219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46219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46219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24307-2026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46219</v>
      </c>
      <c r="F14" t="inlineStr">
        <is>
          <t>ÖREBRO LÄN</t>
        </is>
      </c>
      <c r="G14" t="inlineStr">
        <is>
          <t>LJUSNARSBERG</t>
        </is>
      </c>
      <c r="I14" t="n">
        <v>10.5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11</v>
      </c>
      <c r="U14" s="2" t="inlineStr">
        <is>
          <t>Tretåig hackspett
Tjäder
Vanlig groda
Fläcknycklar</t>
        </is>
      </c>
      <c r="V14">
        <f>HYPERLINK("https://klasma.github.io/Logging_1864/artfynd/A 24307-2026 artfynd.xlsx", "A 24307-2026")</f>
        <v/>
      </c>
      <c r="W14">
        <f>HYPERLINK("https://klasma.github.io/Logging_1864/kartor/A 24307-2026 karta.png", "A 24307-2026")</f>
        <v/>
      </c>
      <c r="Y14">
        <f>HYPERLINK("https://klasma.github.io/Logging_1864/klagomål/A 24307-2026 FSC-klagomål.docx", "A 24307-2026")</f>
        <v/>
      </c>
      <c r="Z14">
        <f>HYPERLINK("https://klasma.github.io/Logging_1864/klagomålsmail/A 24307-2026 FSC-klagomål mail.docx", "A 24307-2026")</f>
        <v/>
      </c>
      <c r="AA14">
        <f>HYPERLINK("https://klasma.github.io/Logging_1864/tillsyn/A 24307-2026 tillsynsbegäran.docx", "A 24307-2026")</f>
        <v/>
      </c>
      <c r="AB14">
        <f>HYPERLINK("https://klasma.github.io/Logging_1864/tillsynsmail/A 24307-2026 tillsynsbegäran mail.docx", "A 24307-2026")</f>
        <v/>
      </c>
      <c r="AC14">
        <f>HYPERLINK("https://klasma.github.io/Logging_1864/fåglar/A 24307-2026 prioriterade fågelarter.docx", "A 24307-2026")</f>
        <v/>
      </c>
    </row>
    <row r="15" ht="15" customHeight="1">
      <c r="A15" t="inlineStr">
        <is>
          <t>A 57978-2025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46219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1.5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7</v>
      </c>
      <c r="U15" s="2" t="inlineStr">
        <is>
          <t>Tvåblad
Brudsporre
Grönvit nattviol
Nattviol</t>
        </is>
      </c>
      <c r="V15">
        <f>HYPERLINK("https://klasma.github.io/Logging_1864/artfynd/A 57978-2025 artfynd.xlsx", "A 57978-2025")</f>
        <v/>
      </c>
      <c r="W15">
        <f>HYPERLINK("https://klasma.github.io/Logging_1864/kartor/A 57978-2025 karta.png", "A 57978-2025")</f>
        <v/>
      </c>
      <c r="Y15">
        <f>HYPERLINK("https://klasma.github.io/Logging_1864/klagomål/A 57978-2025 FSC-klagomål.docx", "A 57978-2025")</f>
        <v/>
      </c>
      <c r="Z15">
        <f>HYPERLINK("https://klasma.github.io/Logging_1864/klagomålsmail/A 57978-2025 FSC-klagomål mail.docx", "A 57978-2025")</f>
        <v/>
      </c>
      <c r="AA15">
        <f>HYPERLINK("https://klasma.github.io/Logging_1864/tillsyn/A 57978-2025 tillsynsbegäran.docx", "A 57978-2025")</f>
        <v/>
      </c>
      <c r="AB15">
        <f>HYPERLINK("https://klasma.github.io/Logging_1864/tillsynsmail/A 57978-2025 tillsynsbegäran mail.docx", "A 57978-2025")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46219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46219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s="2" t="inlineStr">
        <is>
          <t>Spillkråka
Kungsfågel</t>
        </is>
      </c>
      <c r="V17">
        <f>HYPERLINK("https://klasma.github.io/Logging_1864/artfynd/A 62105-2022 artfynd.xlsx", "A 62105-2022")</f>
        <v/>
      </c>
      <c r="W17">
        <f>HYPERLINK("https://klasma.github.io/Logging_1864/kartor/A 62105-2022 karta.png", "A 62105-2022")</f>
        <v/>
      </c>
      <c r="Y17">
        <f>HYPERLINK("https://klasma.github.io/Logging_1864/klagomål/A 62105-2022 FSC-klagomål.docx", "A 62105-2022")</f>
        <v/>
      </c>
      <c r="Z17">
        <f>HYPERLINK("https://klasma.github.io/Logging_1864/klagomålsmail/A 62105-2022 FSC-klagomål mail.docx", "A 62105-2022")</f>
        <v/>
      </c>
      <c r="AA17">
        <f>HYPERLINK("https://klasma.github.io/Logging_1864/tillsyn/A 62105-2022 tillsynsbegäran.docx", "A 62105-2022")</f>
        <v/>
      </c>
      <c r="AB17">
        <f>HYPERLINK("https://klasma.github.io/Logging_1864/tillsynsmail/A 62105-2022 tillsynsbegäran mail.docx", "A 62105-2022")</f>
        <v/>
      </c>
      <c r="AC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46219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Tvåblad
Nattviol</t>
        </is>
      </c>
      <c r="V18">
        <f>HYPERLINK("https://klasma.github.io/Logging_1864/artfynd/A 40854-2025 artfynd.xlsx", "A 40854-2025")</f>
        <v/>
      </c>
      <c r="W18">
        <f>HYPERLINK("https://klasma.github.io/Logging_1864/kartor/A 40854-2025 karta.png", "A 40854-2025")</f>
        <v/>
      </c>
      <c r="Y18">
        <f>HYPERLINK("https://klasma.github.io/Logging_1864/klagomål/A 40854-2025 FSC-klagomål.docx", "A 40854-2025")</f>
        <v/>
      </c>
      <c r="Z18">
        <f>HYPERLINK("https://klasma.github.io/Logging_1864/klagomålsmail/A 40854-2025 FSC-klagomål mail.docx", "A 40854-2025")</f>
        <v/>
      </c>
      <c r="AA18">
        <f>HYPERLINK("https://klasma.github.io/Logging_1864/tillsyn/A 40854-2025 tillsynsbegäran.docx", "A 40854-2025")</f>
        <v/>
      </c>
      <c r="AB18">
        <f>HYPERLINK("https://klasma.github.io/Logging_1864/tillsynsmail/A 40854-2025 tillsynsbegäran mail.docx", "A 40854-2025")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46219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s="2" t="inlineStr">
        <is>
          <t>Tvåblad
Fläcknycklar</t>
        </is>
      </c>
      <c r="V19">
        <f>HYPERLINK("https://klasma.github.io/Logging_1864/artfynd/A 45536-2024 artfynd.xlsx", "A 45536-2024")</f>
        <v/>
      </c>
      <c r="W19">
        <f>HYPERLINK("https://klasma.github.io/Logging_1864/kartor/A 45536-2024 karta.png", "A 45536-2024")</f>
        <v/>
      </c>
      <c r="Y19">
        <f>HYPERLINK("https://klasma.github.io/Logging_1864/klagomål/A 45536-2024 FSC-klagomål.docx", "A 45536-2024")</f>
        <v/>
      </c>
      <c r="Z19">
        <f>HYPERLINK("https://klasma.github.io/Logging_1864/klagomålsmail/A 45536-2024 FSC-klagomål mail.docx", "A 45536-2024")</f>
        <v/>
      </c>
      <c r="AA19">
        <f>HYPERLINK("https://klasma.github.io/Logging_1864/tillsyn/A 45536-2024 tillsynsbegäran.docx", "A 45536-2024")</f>
        <v/>
      </c>
      <c r="AB19">
        <f>HYPERLINK("https://klasma.github.io/Logging_1864/tillsynsmail/A 45536-2024 tillsynsbegäran mail.docx", "A 45536-2024")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46219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s="2" t="inlineStr">
        <is>
          <t>Dropptaggsvamp
Tjäder</t>
        </is>
      </c>
      <c r="V20">
        <f>HYPERLINK("https://klasma.github.io/Logging_1864/artfynd/A 33193-2024 artfynd.xlsx", "A 33193-2024")</f>
        <v/>
      </c>
      <c r="W20">
        <f>HYPERLINK("https://klasma.github.io/Logging_1864/kartor/A 33193-2024 karta.png", "A 33193-2024")</f>
        <v/>
      </c>
      <c r="Y20">
        <f>HYPERLINK("https://klasma.github.io/Logging_1864/klagomål/A 33193-2024 FSC-klagomål.docx", "A 33193-2024")</f>
        <v/>
      </c>
      <c r="Z20">
        <f>HYPERLINK("https://klasma.github.io/Logging_1864/klagomålsmail/A 33193-2024 FSC-klagomål mail.docx", "A 33193-2024")</f>
        <v/>
      </c>
      <c r="AA20">
        <f>HYPERLINK("https://klasma.github.io/Logging_1864/tillsyn/A 33193-2024 tillsynsbegäran.docx", "A 33193-2024")</f>
        <v/>
      </c>
      <c r="AB20">
        <f>HYPERLINK("https://klasma.github.io/Logging_1864/tillsynsmail/A 33193-2024 tillsynsbegäran mail.docx", "A 33193-2024")</f>
        <v/>
      </c>
      <c r="AC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46219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Vågbandad barkbock
Fläcknycklar</t>
        </is>
      </c>
      <c r="V21">
        <f>HYPERLINK("https://klasma.github.io/Logging_1864/artfynd/A 24374-2026 artfynd.xlsx", "A 24374-2026")</f>
        <v/>
      </c>
      <c r="W21">
        <f>HYPERLINK("https://klasma.github.io/Logging_1864/kartor/A 24374-2026 karta.png", "A 24374-2026")</f>
        <v/>
      </c>
      <c r="Y21">
        <f>HYPERLINK("https://klasma.github.io/Logging_1864/klagomål/A 24374-2026 FSC-klagomål.docx", "A 24374-2026")</f>
        <v/>
      </c>
      <c r="Z21">
        <f>HYPERLINK("https://klasma.github.io/Logging_1864/klagomålsmail/A 24374-2026 FSC-klagomål mail.docx", "A 24374-2026")</f>
        <v/>
      </c>
      <c r="AA21">
        <f>HYPERLINK("https://klasma.github.io/Logging_1864/tillsyn/A 24374-2026 tillsynsbegäran.docx", "A 24374-2026")</f>
        <v/>
      </c>
      <c r="AB21">
        <f>HYPERLINK("https://klasma.github.io/Logging_1864/tillsynsmail/A 24374-2026 tillsynsbegäran mail.docx", "A 24374-2026")</f>
        <v/>
      </c>
    </row>
    <row r="22" ht="15" customHeight="1">
      <c r="A22" t="inlineStr">
        <is>
          <t>A 53729-2024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46219</v>
      </c>
      <c r="F22" t="inlineStr">
        <is>
          <t>ÖREBRO LÄN</t>
        </is>
      </c>
      <c r="G22" t="inlineStr">
        <is>
          <t>LJUSNARSBERG</t>
        </is>
      </c>
      <c r="I22" t="n">
        <v>14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Aspfjädermossa
Smal svampklubba</t>
        </is>
      </c>
      <c r="V22">
        <f>HYPERLINK("https://klasma.github.io/Logging_1864/artfynd/A 53729-2024 artfynd.xlsx", "A 53729-2024")</f>
        <v/>
      </c>
      <c r="W22">
        <f>HYPERLINK("https://klasma.github.io/Logging_1864/kartor/A 53729-2024 karta.png", "A 53729-2024")</f>
        <v/>
      </c>
      <c r="Y22">
        <f>HYPERLINK("https://klasma.github.io/Logging_1864/klagomål/A 53729-2024 FSC-klagomål.docx", "A 53729-2024")</f>
        <v/>
      </c>
      <c r="Z22">
        <f>HYPERLINK("https://klasma.github.io/Logging_1864/klagomålsmail/A 53729-2024 FSC-klagomål mail.docx", "A 53729-2024")</f>
        <v/>
      </c>
      <c r="AA22">
        <f>HYPERLINK("https://klasma.github.io/Logging_1864/tillsyn/A 53729-2024 tillsynsbegäran.docx", "A 53729-2024")</f>
        <v/>
      </c>
      <c r="AB22">
        <f>HYPERLINK("https://klasma.github.io/Logging_1864/tillsynsmail/A 53729-2024 tillsynsbegäran mail.docx", "A 53729-2024")</f>
        <v/>
      </c>
    </row>
    <row r="23" ht="15" customHeight="1">
      <c r="A23" t="inlineStr">
        <is>
          <t>A 49157-2023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46219</v>
      </c>
      <c r="F23" t="inlineStr">
        <is>
          <t>ÖREBRO LÄN</t>
        </is>
      </c>
      <c r="G23" t="inlineStr">
        <is>
          <t>LJUSNARSBERG</t>
        </is>
      </c>
      <c r="I23" t="n">
        <v>3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Rödgul trumpetsvamp
Skogshakmossa</t>
        </is>
      </c>
      <c r="V23">
        <f>HYPERLINK("https://klasma.github.io/Logging_1864/artfynd/A 49157-2023 artfynd.xlsx", "A 49157-2023")</f>
        <v/>
      </c>
      <c r="W23">
        <f>HYPERLINK("https://klasma.github.io/Logging_1864/kartor/A 49157-2023 karta.png", "A 49157-2023")</f>
        <v/>
      </c>
      <c r="Y23">
        <f>HYPERLINK("https://klasma.github.io/Logging_1864/klagomål/A 49157-2023 FSC-klagomål.docx", "A 49157-2023")</f>
        <v/>
      </c>
      <c r="Z23">
        <f>HYPERLINK("https://klasma.github.io/Logging_1864/klagomålsmail/A 49157-2023 FSC-klagomål mail.docx", "A 49157-2023")</f>
        <v/>
      </c>
      <c r="AA23">
        <f>HYPERLINK("https://klasma.github.io/Logging_1864/tillsyn/A 49157-2023 tillsynsbegäran.docx", "A 49157-2023")</f>
        <v/>
      </c>
      <c r="AB23">
        <f>HYPERLINK("https://klasma.github.io/Logging_1864/tillsynsmail/A 49157-2023 tillsynsbegäran mail.docx", "A 49157-2023")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46219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Fläcknycklar</t>
        </is>
      </c>
      <c r="V24">
        <f>HYPERLINK("https://klasma.github.io/Logging_1864/artfynd/A 20797-2022 artfynd.xlsx", "A 20797-2022")</f>
        <v/>
      </c>
      <c r="W24">
        <f>HYPERLINK("https://klasma.github.io/Logging_1864/kartor/A 20797-2022 karta.png", "A 20797-2022")</f>
        <v/>
      </c>
      <c r="Y24">
        <f>HYPERLINK("https://klasma.github.io/Logging_1864/klagomål/A 20797-2022 FSC-klagomål.docx", "A 20797-2022")</f>
        <v/>
      </c>
      <c r="Z24">
        <f>HYPERLINK("https://klasma.github.io/Logging_1864/klagomålsmail/A 20797-2022 FSC-klagomål mail.docx", "A 20797-2022")</f>
        <v/>
      </c>
      <c r="AA24">
        <f>HYPERLINK("https://klasma.github.io/Logging_1864/tillsyn/A 20797-2022 tillsynsbegäran.docx", "A 20797-2022")</f>
        <v/>
      </c>
      <c r="AB24">
        <f>HYPERLINK("https://klasma.github.io/Logging_1864/tillsynsmail/A 20797-2022 tillsynsbegäran mail.docx", "A 20797-2022")</f>
        <v/>
      </c>
    </row>
    <row r="25" ht="15" customHeight="1">
      <c r="A25" t="inlineStr">
        <is>
          <t>A 39514-2025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46219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Nattviol</t>
        </is>
      </c>
      <c r="V25">
        <f>HYPERLINK("https://klasma.github.io/Logging_1864/artfynd/A 39514-2025 artfynd.xlsx", "A 39514-2025")</f>
        <v/>
      </c>
      <c r="W25">
        <f>HYPERLINK("https://klasma.github.io/Logging_1864/kartor/A 39514-2025 karta.png", "A 39514-2025")</f>
        <v/>
      </c>
      <c r="Y25">
        <f>HYPERLINK("https://klasma.github.io/Logging_1864/klagomål/A 39514-2025 FSC-klagomål.docx", "A 39514-2025")</f>
        <v/>
      </c>
      <c r="Z25">
        <f>HYPERLINK("https://klasma.github.io/Logging_1864/klagomålsmail/A 39514-2025 FSC-klagomål mail.docx", "A 39514-2025")</f>
        <v/>
      </c>
      <c r="AA25">
        <f>HYPERLINK("https://klasma.github.io/Logging_1864/tillsyn/A 39514-2025 tillsynsbegäran.docx", "A 39514-2025")</f>
        <v/>
      </c>
      <c r="AB25">
        <f>HYPERLINK("https://klasma.github.io/Logging_1864/tillsynsmail/A 39514-2025 tillsynsbegäran mail.docx", "A 39514-2025")</f>
        <v/>
      </c>
    </row>
    <row r="26" ht="15" customHeight="1">
      <c r="A26" t="inlineStr">
        <is>
          <t>A 56179-2024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45623</v>
      </c>
      <c r="E26" s="1" t="n">
        <v>46219</v>
      </c>
      <c r="F26" t="inlineStr">
        <is>
          <t>ÖREBRO LÄN</t>
        </is>
      </c>
      <c r="G26" t="inlineStr">
        <is>
          <t>LJUSNARSBERG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Vedticka</t>
        </is>
      </c>
      <c r="V26">
        <f>HYPERLINK("https://klasma.github.io/Logging_1864/artfynd/A 56179-2024 artfynd.xlsx", "A 56179-2024")</f>
        <v/>
      </c>
      <c r="W26">
        <f>HYPERLINK("https://klasma.github.io/Logging_1864/kartor/A 56179-2024 karta.png", "A 56179-2024")</f>
        <v/>
      </c>
      <c r="Y26">
        <f>HYPERLINK("https://klasma.github.io/Logging_1864/klagomål/A 56179-2024 FSC-klagomål.docx", "A 56179-2024")</f>
        <v/>
      </c>
      <c r="Z26">
        <f>HYPERLINK("https://klasma.github.io/Logging_1864/klagomålsmail/A 56179-2024 FSC-klagomål mail.docx", "A 56179-2024")</f>
        <v/>
      </c>
      <c r="AA26">
        <f>HYPERLINK("https://klasma.github.io/Logging_1864/tillsyn/A 56179-2024 tillsynsbegäran.docx", "A 56179-2024")</f>
        <v/>
      </c>
      <c r="AB26">
        <f>HYPERLINK("https://klasma.github.io/Logging_1864/tillsynsmail/A 56179-2024 tillsynsbegäran mail.docx", "A 56179-2024")</f>
        <v/>
      </c>
    </row>
    <row r="27" ht="15" customHeight="1">
      <c r="A27" t="inlineStr">
        <is>
          <t>A 24791-2024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45460</v>
      </c>
      <c r="E27" s="1" t="n">
        <v>46219</v>
      </c>
      <c r="F27" t="inlineStr">
        <is>
          <t>ÖREBRO LÄN</t>
        </is>
      </c>
      <c r="G27" t="inlineStr">
        <is>
          <t>LJUSNARSBERG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s="2" t="inlineStr">
        <is>
          <t>Spillkråka</t>
        </is>
      </c>
      <c r="V27">
        <f>HYPERLINK("https://klasma.github.io/Logging_1864/artfynd/A 24791-2024 artfynd.xlsx", "A 24791-2024")</f>
        <v/>
      </c>
      <c r="W27">
        <f>HYPERLINK("https://klasma.github.io/Logging_1864/kartor/A 24791-2024 karta.png", "A 24791-2024")</f>
        <v/>
      </c>
      <c r="Y27">
        <f>HYPERLINK("https://klasma.github.io/Logging_1864/klagomål/A 24791-2024 FSC-klagomål.docx", "A 24791-2024")</f>
        <v/>
      </c>
      <c r="Z27">
        <f>HYPERLINK("https://klasma.github.io/Logging_1864/klagomålsmail/A 24791-2024 FSC-klagomål mail.docx", "A 24791-2024")</f>
        <v/>
      </c>
      <c r="AA27">
        <f>HYPERLINK("https://klasma.github.io/Logging_1864/tillsyn/A 24791-2024 tillsynsbegäran.docx", "A 24791-2024")</f>
        <v/>
      </c>
      <c r="AB27">
        <f>HYPERLINK("https://klasma.github.io/Logging_1864/tillsynsmail/A 24791-2024 tillsynsbegäran mail.docx", "A 24791-2024")</f>
        <v/>
      </c>
      <c r="AC27">
        <f>HYPERLINK("https://klasma.github.io/Logging_1864/fåglar/A 24791-2024 prioriterade fågelarter.docx", "A 24791-2024")</f>
        <v/>
      </c>
    </row>
    <row r="28" ht="15" customHeight="1">
      <c r="A28" t="inlineStr">
        <is>
          <t>A 24299-2026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46219</v>
      </c>
      <c r="F28" t="inlineStr">
        <is>
          <t>ÖREBRO LÄN</t>
        </is>
      </c>
      <c r="G28" t="inlineStr">
        <is>
          <t>LJUSNARSBERG</t>
        </is>
      </c>
      <c r="I28" t="n">
        <v>10.8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HYPERLINK("https://klasma.github.io/Logging_1864/artfynd/A 24299-2026 artfynd.xlsx", "A 24299-2026")</f>
        <v/>
      </c>
      <c r="W28">
        <f>HYPERLINK("https://klasma.github.io/Logging_1864/kartor/A 24299-2026 karta.png", "A 24299-2026")</f>
        <v/>
      </c>
      <c r="Y28">
        <f>HYPERLINK("https://klasma.github.io/Logging_1864/klagomål/A 24299-2026 FSC-klagomål.docx", "A 24299-2026")</f>
        <v/>
      </c>
      <c r="Z28">
        <f>HYPERLINK("https://klasma.github.io/Logging_1864/klagomålsmail/A 24299-2026 FSC-klagomål mail.docx", "A 24299-2026")</f>
        <v/>
      </c>
      <c r="AA28">
        <f>HYPERLINK("https://klasma.github.io/Logging_1864/tillsyn/A 24299-2026 tillsynsbegäran.docx", "A 24299-2026")</f>
        <v/>
      </c>
      <c r="AB28">
        <f>HYPERLINK("https://klasma.github.io/Logging_1864/tillsynsmail/A 24299-2026 tillsynsbegäran mail.docx", "A 24299-2026")</f>
        <v/>
      </c>
      <c r="AC28">
        <f>HYPERLINK("https://klasma.github.io/Logging_1864/fåglar/A 24299-2026 prioriterade fågelarter.docx", "A 24299-2026")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46219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HYPERLINK("https://klasma.github.io/Logging_1864/artfynd/A 24348-2026 artfynd.xlsx", "A 24348-2026")</f>
        <v/>
      </c>
      <c r="W29">
        <f>HYPERLINK("https://klasma.github.io/Logging_1864/kartor/A 24348-2026 karta.png", "A 24348-2026")</f>
        <v/>
      </c>
      <c r="Y29">
        <f>HYPERLINK("https://klasma.github.io/Logging_1864/klagomål/A 24348-2026 FSC-klagomål.docx", "A 24348-2026")</f>
        <v/>
      </c>
      <c r="Z29">
        <f>HYPERLINK("https://klasma.github.io/Logging_1864/klagomålsmail/A 24348-2026 FSC-klagomål mail.docx", "A 24348-2026")</f>
        <v/>
      </c>
      <c r="AA29">
        <f>HYPERLINK("https://klasma.github.io/Logging_1864/tillsyn/A 24348-2026 tillsynsbegäran.docx", "A 24348-2026")</f>
        <v/>
      </c>
      <c r="AB29">
        <f>HYPERLINK("https://klasma.github.io/Logging_1864/tillsynsmail/A 24348-2026 tillsynsbegäran mail.docx", "A 24348-2026")</f>
        <v/>
      </c>
      <c r="AC29">
        <f>HYPERLINK("https://klasma.github.io/Logging_1864/fåglar/A 24348-2026 prioriterade fågelarter.docx", "A 24348-2026")</f>
        <v/>
      </c>
    </row>
    <row r="30" ht="15" customHeight="1">
      <c r="A30" t="inlineStr">
        <is>
          <t>A 56859-2025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45975</v>
      </c>
      <c r="E30" s="1" t="n">
        <v>46219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Större vattensalamander</t>
        </is>
      </c>
      <c r="V30">
        <f>HYPERLINK("https://klasma.github.io/Logging_1864/artfynd/A 56859-2025 artfynd.xlsx", "A 56859-2025")</f>
        <v/>
      </c>
      <c r="W30">
        <f>HYPERLINK("https://klasma.github.io/Logging_1864/kartor/A 56859-2025 karta.png", "A 56859-2025")</f>
        <v/>
      </c>
      <c r="Y30">
        <f>HYPERLINK("https://klasma.github.io/Logging_1864/klagomål/A 56859-2025 FSC-klagomål.docx", "A 56859-2025")</f>
        <v/>
      </c>
      <c r="Z30">
        <f>HYPERLINK("https://klasma.github.io/Logging_1864/klagomålsmail/A 56859-2025 FSC-klagomål mail.docx", "A 56859-2025")</f>
        <v/>
      </c>
      <c r="AA30">
        <f>HYPERLINK("https://klasma.github.io/Logging_1864/tillsyn/A 56859-2025 tillsynsbegäran.docx", "A 56859-2025")</f>
        <v/>
      </c>
      <c r="AB30">
        <f>HYPERLINK("https://klasma.github.io/Logging_1864/tillsynsmail/A 56859-2025 tillsynsbegäran mail.docx", "A 56859-2025")</f>
        <v/>
      </c>
    </row>
    <row r="31" ht="15" customHeight="1">
      <c r="A31" t="inlineStr">
        <is>
          <t>A 45537-2024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45578</v>
      </c>
      <c r="E31" s="1" t="n">
        <v>46219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Fläcknycklar</t>
        </is>
      </c>
      <c r="V31">
        <f>HYPERLINK("https://klasma.github.io/Logging_1864/artfynd/A 45537-2024 artfynd.xlsx", "A 45537-2024")</f>
        <v/>
      </c>
      <c r="W31">
        <f>HYPERLINK("https://klasma.github.io/Logging_1864/kartor/A 45537-2024 karta.png", "A 45537-2024")</f>
        <v/>
      </c>
      <c r="Y31">
        <f>HYPERLINK("https://klasma.github.io/Logging_1864/klagomål/A 45537-2024 FSC-klagomål.docx", "A 45537-2024")</f>
        <v/>
      </c>
      <c r="Z31">
        <f>HYPERLINK("https://klasma.github.io/Logging_1864/klagomålsmail/A 45537-2024 FSC-klagomål mail.docx", "A 45537-2024")</f>
        <v/>
      </c>
      <c r="AA31">
        <f>HYPERLINK("https://klasma.github.io/Logging_1864/tillsyn/A 45537-2024 tillsynsbegäran.docx", "A 45537-2024")</f>
        <v/>
      </c>
      <c r="AB31">
        <f>HYPERLINK("https://klasma.github.io/Logging_1864/tillsynsmail/A 45537-2024 tillsynsbegäran mail.docx", "A 45537-2024")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46219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Mattlummer</t>
        </is>
      </c>
      <c r="V32">
        <f>HYPERLINK("https://klasma.github.io/Logging_1864/artfynd/A 39095-2022 artfynd.xlsx", "A 39095-2022")</f>
        <v/>
      </c>
      <c r="W32">
        <f>HYPERLINK("https://klasma.github.io/Logging_1864/kartor/A 39095-2022 karta.png", "A 39095-2022")</f>
        <v/>
      </c>
      <c r="Y32">
        <f>HYPERLINK("https://klasma.github.io/Logging_1864/klagomål/A 39095-2022 FSC-klagomål.docx", "A 39095-2022")</f>
        <v/>
      </c>
      <c r="Z32">
        <f>HYPERLINK("https://klasma.github.io/Logging_1864/klagomålsmail/A 39095-2022 FSC-klagomål mail.docx", "A 39095-2022")</f>
        <v/>
      </c>
      <c r="AA32">
        <f>HYPERLINK("https://klasma.github.io/Logging_1864/tillsyn/A 39095-2022 tillsynsbegäran.docx", "A 39095-2022")</f>
        <v/>
      </c>
      <c r="AB32">
        <f>HYPERLINK("https://klasma.github.io/Logging_1864/tillsynsmail/A 39095-2022 tillsynsbegäran mail.docx", "A 39095-2022")</f>
        <v/>
      </c>
    </row>
    <row r="33" ht="15" customHeight="1">
      <c r="A33" t="inlineStr">
        <is>
          <t>A 19940-2026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46219</v>
      </c>
      <c r="F33" t="inlineStr">
        <is>
          <t>ÖREBRO LÄN</t>
        </is>
      </c>
      <c r="G33" t="inlineStr">
        <is>
          <t>LJUSNARSBERG</t>
        </is>
      </c>
      <c r="H33" t="inlineStr">
        <is>
          <t>Sveaskog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HYPERLINK("https://klasma.github.io/Logging_1864/artfynd/A 19940-2026 artfynd.xlsx", "A 19940-2026")</f>
        <v/>
      </c>
      <c r="W33">
        <f>HYPERLINK("https://klasma.github.io/Logging_1864/kartor/A 19940-2026 karta.png", "A 19940-2026")</f>
        <v/>
      </c>
      <c r="Y33">
        <f>HYPERLINK("https://klasma.github.io/Logging_1864/klagomål/A 19940-2026 FSC-klagomål.docx", "A 19940-2026")</f>
        <v/>
      </c>
      <c r="Z33">
        <f>HYPERLINK("https://klasma.github.io/Logging_1864/klagomålsmail/A 19940-2026 FSC-klagomål mail.docx", "A 19940-2026")</f>
        <v/>
      </c>
      <c r="AA33">
        <f>HYPERLINK("https://klasma.github.io/Logging_1864/tillsyn/A 19940-2026 tillsynsbegäran.docx", "A 19940-2026")</f>
        <v/>
      </c>
      <c r="AB33">
        <f>HYPERLINK("https://klasma.github.io/Logging_1864/tillsynsmail/A 19940-2026 tillsynsbegäran mail.docx", "A 19940-2026")</f>
        <v/>
      </c>
    </row>
    <row r="34" ht="15" customHeight="1">
      <c r="A34" t="inlineStr">
        <is>
          <t>A 18857-2026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46127</v>
      </c>
      <c r="E34" s="1" t="n">
        <v>46219</v>
      </c>
      <c r="F34" t="inlineStr">
        <is>
          <t>ÖREBRO LÄN</t>
        </is>
      </c>
      <c r="G34" t="inlineStr">
        <is>
          <t>LJUSNARSBERG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Trana</t>
        </is>
      </c>
      <c r="V34">
        <f>HYPERLINK("https://klasma.github.io/Logging_1864/artfynd/A 18857-2026 artfynd.xlsx", "A 18857-2026")</f>
        <v/>
      </c>
      <c r="W34">
        <f>HYPERLINK("https://klasma.github.io/Logging_1864/kartor/A 18857-2026 karta.png", "A 18857-2026")</f>
        <v/>
      </c>
      <c r="Y34">
        <f>HYPERLINK("https://klasma.github.io/Logging_1864/klagomål/A 18857-2026 FSC-klagomål.docx", "A 18857-2026")</f>
        <v/>
      </c>
      <c r="Z34">
        <f>HYPERLINK("https://klasma.github.io/Logging_1864/klagomålsmail/A 18857-2026 FSC-klagomål mail.docx", "A 18857-2026")</f>
        <v/>
      </c>
      <c r="AA34">
        <f>HYPERLINK("https://klasma.github.io/Logging_1864/tillsyn/A 18857-2026 tillsynsbegäran.docx", "A 18857-2026")</f>
        <v/>
      </c>
      <c r="AB34">
        <f>HYPERLINK("https://klasma.github.io/Logging_1864/tillsynsmail/A 18857-2026 tillsynsbegäran mail.docx", "A 18857-2026")</f>
        <v/>
      </c>
      <c r="AC34">
        <f>HYPERLINK("https://klasma.github.io/Logging_1864/fåglar/A 18857-2026 prioriterade fågelarter.docx", "A 18857-2026")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46219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46219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46219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46219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46219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46219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46219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46219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46219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46219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46219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46219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46219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46219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46219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46219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46219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46219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44983-2024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45575</v>
      </c>
      <c r="E53" s="1" t="n">
        <v>46219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46219</v>
      </c>
      <c r="F54" t="inlineStr">
        <is>
          <t>ÖREBRO LÄN</t>
        </is>
      </c>
      <c r="G54" t="inlineStr">
        <is>
          <t>LJUSNARSBERG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38277-2022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46219</v>
      </c>
      <c r="F55" t="inlineStr">
        <is>
          <t>ÖREBRO LÄN</t>
        </is>
      </c>
      <c r="G55" t="inlineStr">
        <is>
          <t>LJUSNARSBERG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45583</v>
      </c>
      <c r="E56" s="1" t="n">
        <v>46219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46219</v>
      </c>
      <c r="F57" t="inlineStr">
        <is>
          <t>ÖREBRO LÄN</t>
        </is>
      </c>
      <c r="G57" t="inlineStr">
        <is>
          <t>LJUSNARSBERG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25574-2023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45089</v>
      </c>
      <c r="E58" s="1" t="n">
        <v>46219</v>
      </c>
      <c r="F58" t="inlineStr">
        <is>
          <t>ÖREBRO LÄN</t>
        </is>
      </c>
      <c r="G58" t="inlineStr">
        <is>
          <t>LJUSNARSBERG</t>
        </is>
      </c>
      <c r="H58" t="inlineStr">
        <is>
          <t>Sveaskog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24921-2023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46219</v>
      </c>
      <c r="F59" t="inlineStr">
        <is>
          <t>ÖREBRO LÄN</t>
        </is>
      </c>
      <c r="G59" t="inlineStr">
        <is>
          <t>LJUSNARSBERG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46219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29721-2023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46219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48353-2022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46219</v>
      </c>
      <c r="F62" t="inlineStr">
        <is>
          <t>ÖREBRO LÄN</t>
        </is>
      </c>
      <c r="G62" t="inlineStr">
        <is>
          <t>LJUSNARSBERG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13803-2024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46219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18975-2025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46219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26617-2022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46219</v>
      </c>
      <c r="F65" t="inlineStr">
        <is>
          <t>ÖREBRO LÄN</t>
        </is>
      </c>
      <c r="G65" t="inlineStr">
        <is>
          <t>LJUSNARSBERG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45578</v>
      </c>
      <c r="E66" s="1" t="n">
        <v>46219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46219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19368-2025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46219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46219</v>
      </c>
      <c r="F69" t="inlineStr">
        <is>
          <t>ÖREBRO LÄN</t>
        </is>
      </c>
      <c r="G69" t="inlineStr">
        <is>
          <t>LJUSNARSBERG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23346-2022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46219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59630-2024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45638</v>
      </c>
      <c r="E71" s="1" t="n">
        <v>46219</v>
      </c>
      <c r="F71" t="inlineStr">
        <is>
          <t>ÖREBRO LÄN</t>
        </is>
      </c>
      <c r="G71" t="inlineStr">
        <is>
          <t>LJUSNARSBERG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17933-2024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46219</v>
      </c>
      <c r="F72" t="inlineStr">
        <is>
          <t>ÖREBRO LÄN</t>
        </is>
      </c>
      <c r="G72" t="inlineStr">
        <is>
          <t>LJUSNARSBERG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31357-2025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46219</v>
      </c>
      <c r="F73" t="inlineStr">
        <is>
          <t>ÖREBRO LÄN</t>
        </is>
      </c>
      <c r="G73" t="inlineStr">
        <is>
          <t>LJUSNARSBERG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23372-2022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46219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46219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29595-2025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46219</v>
      </c>
      <c r="F76" t="inlineStr">
        <is>
          <t>ÖREBRO LÄN</t>
        </is>
      </c>
      <c r="G76" t="inlineStr">
        <is>
          <t>LJUSNARSBERG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46219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30774-2023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46219</v>
      </c>
      <c r="F78" t="inlineStr">
        <is>
          <t>ÖREBRO LÄN</t>
        </is>
      </c>
      <c r="G78" t="inlineStr">
        <is>
          <t>LJUSNARSBERG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26165-2022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46219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46219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17923-2024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46219</v>
      </c>
      <c r="F81" t="inlineStr">
        <is>
          <t>ÖREBRO LÄN</t>
        </is>
      </c>
      <c r="G81" t="inlineStr">
        <is>
          <t>LJUSNARSBERG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17924-2024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46219</v>
      </c>
      <c r="F82" t="inlineStr">
        <is>
          <t>ÖREBRO LÄN</t>
        </is>
      </c>
      <c r="G82" t="inlineStr">
        <is>
          <t>LJUSNARSBERG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46219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46219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33974-2023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45124</v>
      </c>
      <c r="E85" s="1" t="n">
        <v>46219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33979-2023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45124</v>
      </c>
      <c r="E86" s="1" t="n">
        <v>46219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45347</v>
      </c>
      <c r="E87" s="1" t="n">
        <v>46219</v>
      </c>
      <c r="F87" t="inlineStr">
        <is>
          <t>ÖREBRO LÄN</t>
        </is>
      </c>
      <c r="G87" t="inlineStr">
        <is>
          <t>LJUSNARSBERG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46219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46219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41017-2025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46219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46219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40964-2025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46219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42287-2025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46219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53789-2022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46219</v>
      </c>
      <c r="F94" t="inlineStr">
        <is>
          <t>ÖREBRO LÄN</t>
        </is>
      </c>
      <c r="G94" t="inlineStr">
        <is>
          <t>LJUSNARSBERG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45909</v>
      </c>
      <c r="E95" s="1" t="n">
        <v>46219</v>
      </c>
      <c r="F95" t="inlineStr">
        <is>
          <t>ÖREBRO LÄN</t>
        </is>
      </c>
      <c r="G95" t="inlineStr">
        <is>
          <t>LJUSNARSBERG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44479-2025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45916</v>
      </c>
      <c r="E96" s="1" t="n">
        <v>46219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46219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46492-2025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45925</v>
      </c>
      <c r="E98" s="1" t="n">
        <v>46219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59497-2024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45638</v>
      </c>
      <c r="E99" s="1" t="n">
        <v>46219</v>
      </c>
      <c r="F99" t="inlineStr">
        <is>
          <t>ÖREBRO LÄN</t>
        </is>
      </c>
      <c r="G99" t="inlineStr">
        <is>
          <t>LJUSNARSBERG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44565</v>
      </c>
      <c r="E100" s="1" t="n">
        <v>46219</v>
      </c>
      <c r="F100" t="inlineStr">
        <is>
          <t>ÖREBRO LÄN</t>
        </is>
      </c>
      <c r="G100" t="inlineStr">
        <is>
          <t>LJUSNARSBERG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22887-2024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45448</v>
      </c>
      <c r="E101" s="1" t="n">
        <v>46219</v>
      </c>
      <c r="F101" t="inlineStr">
        <is>
          <t>ÖREBRO LÄN</t>
        </is>
      </c>
      <c r="G101" t="inlineStr">
        <is>
          <t>LJUSNARSBERG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41610-2025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46219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46219</v>
      </c>
      <c r="F103" t="inlineStr">
        <is>
          <t>ÖREBRO LÄN</t>
        </is>
      </c>
      <c r="G103" t="inlineStr">
        <is>
          <t>LJUSNARSBERG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46219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52489-2022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44874</v>
      </c>
      <c r="E105" s="1" t="n">
        <v>46219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12482-2023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44999</v>
      </c>
      <c r="E106" s="1" t="n">
        <v>46219</v>
      </c>
      <c r="F106" t="inlineStr">
        <is>
          <t>ÖREBRO LÄN</t>
        </is>
      </c>
      <c r="G106" t="inlineStr">
        <is>
          <t>LJUSNARSBERG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46219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46219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48582-2025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46219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46219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46219</v>
      </c>
      <c r="F111" t="inlineStr">
        <is>
          <t>ÖREBRO LÄN</t>
        </is>
      </c>
      <c r="G111" t="inlineStr">
        <is>
          <t>LJUSNARSBERG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46219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46219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30414-2023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46219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46219</v>
      </c>
      <c r="F115" t="inlineStr">
        <is>
          <t>ÖREBRO LÄN</t>
        </is>
      </c>
      <c r="G115" t="inlineStr">
        <is>
          <t>LJUSNARSBERG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48564-2025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46219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46263-2021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44442</v>
      </c>
      <c r="E117" s="1" t="n">
        <v>46219</v>
      </c>
      <c r="F117" t="inlineStr">
        <is>
          <t>ÖREBRO LÄN</t>
        </is>
      </c>
      <c r="G117" t="inlineStr">
        <is>
          <t>LJUSNARSBERG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46219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46219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50865-2025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45946</v>
      </c>
      <c r="E120" s="1" t="n">
        <v>46219</v>
      </c>
      <c r="F120" t="inlineStr">
        <is>
          <t>ÖREBRO LÄN</t>
        </is>
      </c>
      <c r="G120" t="inlineStr">
        <is>
          <t>LJUSNARSBERG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46219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44438</v>
      </c>
      <c r="E122" s="1" t="n">
        <v>46219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46219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46219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14500-2024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46219</v>
      </c>
      <c r="F125" t="inlineStr">
        <is>
          <t>ÖREBRO LÄN</t>
        </is>
      </c>
      <c r="G125" t="inlineStr">
        <is>
          <t>LJUSNARSBERG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23633-2026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46219</v>
      </c>
      <c r="F126" t="inlineStr">
        <is>
          <t>ÖREBRO LÄN</t>
        </is>
      </c>
      <c r="G126" t="inlineStr">
        <is>
          <t>LJUSNARSBERG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29436-2023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46219</v>
      </c>
      <c r="F127" t="inlineStr">
        <is>
          <t>ÖREBRO LÄN</t>
        </is>
      </c>
      <c r="G127" t="inlineStr">
        <is>
          <t>LJUSNARSBERG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24363-2026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46219</v>
      </c>
      <c r="F128" t="inlineStr">
        <is>
          <t>ÖREBRO LÄN</t>
        </is>
      </c>
      <c r="G128" t="inlineStr">
        <is>
          <t>LJUSNARSBERG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24343-2026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46219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67746-2021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46219</v>
      </c>
      <c r="F130" t="inlineStr">
        <is>
          <t>ÖREBRO LÄN</t>
        </is>
      </c>
      <c r="G130" t="inlineStr">
        <is>
          <t>LJUSNARSBERG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24350-2026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46167</v>
      </c>
      <c r="E131" s="1" t="n">
        <v>46219</v>
      </c>
      <c r="F131" t="inlineStr">
        <is>
          <t>ÖREBRO LÄN</t>
        </is>
      </c>
      <c r="G131" t="inlineStr">
        <is>
          <t>LJUSNARSBERG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24319-2026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46167</v>
      </c>
      <c r="E132" s="1" t="n">
        <v>46219</v>
      </c>
      <c r="F132" t="inlineStr">
        <is>
          <t>ÖREBRO LÄN</t>
        </is>
      </c>
      <c r="G132" t="inlineStr">
        <is>
          <t>LJUSNARSBERG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57400-2025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46219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46219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62679-2022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46219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46219</v>
      </c>
      <c r="F136" t="inlineStr">
        <is>
          <t>ÖREBRO LÄN</t>
        </is>
      </c>
      <c r="G136" t="inlineStr">
        <is>
          <t>LJUSNARSBERG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44564</v>
      </c>
      <c r="E137" s="1" t="n">
        <v>46219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31167-2023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46219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18932-2022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46219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46801-2024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46219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25671-2024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45463</v>
      </c>
      <c r="E141" s="1" t="n">
        <v>46219</v>
      </c>
      <c r="F141" t="inlineStr">
        <is>
          <t>ÖREBRO LÄN</t>
        </is>
      </c>
      <c r="G141" t="inlineStr">
        <is>
          <t>LJUSNARSBERG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61579-2025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46219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59495-2024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45638</v>
      </c>
      <c r="E143" s="1" t="n">
        <v>46219</v>
      </c>
      <c r="F143" t="inlineStr">
        <is>
          <t>ÖREBRO LÄN</t>
        </is>
      </c>
      <c r="G143" t="inlineStr">
        <is>
          <t>LJUSNARSBERG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63411-2025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46219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46219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46219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46219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46219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46219</v>
      </c>
      <c r="F149" t="inlineStr">
        <is>
          <t>ÖREBRO LÄN</t>
        </is>
      </c>
      <c r="G149" t="inlineStr">
        <is>
          <t>LJUSNARSBERG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31162-2023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46219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52366-2024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46219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19857-2022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44694</v>
      </c>
      <c r="E152" s="1" t="n">
        <v>46219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28778-2024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46219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33976-2023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46219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46219</v>
      </c>
      <c r="F155" t="inlineStr">
        <is>
          <t>ÖREBRO LÄN</t>
        </is>
      </c>
      <c r="G155" t="inlineStr">
        <is>
          <t>LJUSNARSBERG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13389-2024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46219</v>
      </c>
      <c r="F156" t="inlineStr">
        <is>
          <t>ÖREBRO LÄN</t>
        </is>
      </c>
      <c r="G156" t="inlineStr">
        <is>
          <t>LJUSNARSBERG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46219</v>
      </c>
      <c r="F157" t="inlineStr">
        <is>
          <t>ÖREBRO LÄN</t>
        </is>
      </c>
      <c r="G157" t="inlineStr">
        <is>
          <t>LJUSNARSBERG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48780-2024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45593</v>
      </c>
      <c r="E158" s="1" t="n">
        <v>46219</v>
      </c>
      <c r="F158" t="inlineStr">
        <is>
          <t>ÖREBRO LÄN</t>
        </is>
      </c>
      <c r="G158" t="inlineStr">
        <is>
          <t>LJUSNARSBERG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30172-2023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46219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34926-2023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45142</v>
      </c>
      <c r="E160" s="1" t="n">
        <v>46219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46219</v>
      </c>
      <c r="F161" t="inlineStr">
        <is>
          <t>ÖREBRO LÄN</t>
        </is>
      </c>
      <c r="G161" t="inlineStr">
        <is>
          <t>LJUSNARSBERG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33861-2022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46219</v>
      </c>
      <c r="F162" t="inlineStr">
        <is>
          <t>ÖREBRO LÄN</t>
        </is>
      </c>
      <c r="G162" t="inlineStr">
        <is>
          <t>LJUSNARSBERG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46219</v>
      </c>
      <c r="F163" t="inlineStr">
        <is>
          <t>ÖREBRO LÄN</t>
        </is>
      </c>
      <c r="G163" t="inlineStr">
        <is>
          <t>LJUSNARSBERG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44956</v>
      </c>
      <c r="E164" s="1" t="n">
        <v>46219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46219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24385-2025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46219</v>
      </c>
      <c r="F166" t="inlineStr">
        <is>
          <t>ÖREBRO LÄN</t>
        </is>
      </c>
      <c r="G166" t="inlineStr">
        <is>
          <t>LJUSNARSBERG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57129-2021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46219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44999</v>
      </c>
      <c r="E168" s="1" t="n">
        <v>46219</v>
      </c>
      <c r="F168" t="inlineStr">
        <is>
          <t>ÖREBRO LÄN</t>
        </is>
      </c>
      <c r="G168" t="inlineStr">
        <is>
          <t>LJUSNARSBERG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15114-2024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46219</v>
      </c>
      <c r="F169" t="inlineStr">
        <is>
          <t>ÖREBRO LÄN</t>
        </is>
      </c>
      <c r="G169" t="inlineStr">
        <is>
          <t>LJUSNARSBERG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46219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7903-2022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44607</v>
      </c>
      <c r="E171" s="1" t="n">
        <v>46219</v>
      </c>
      <c r="F171" t="inlineStr">
        <is>
          <t>ÖREBRO LÄN</t>
        </is>
      </c>
      <c r="G171" t="inlineStr">
        <is>
          <t>LJUSNARSBERG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62843-2021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46219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45177</v>
      </c>
      <c r="E173" s="1" t="n">
        <v>46219</v>
      </c>
      <c r="F173" t="inlineStr">
        <is>
          <t>ÖREBRO LÄN</t>
        </is>
      </c>
      <c r="G173" t="inlineStr">
        <is>
          <t>LJUSNARSBERG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26469-2025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46219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61580-2023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46219</v>
      </c>
      <c r="F175" t="inlineStr">
        <is>
          <t>ÖREBRO LÄN</t>
        </is>
      </c>
      <c r="G175" t="inlineStr">
        <is>
          <t>LJUSNARSBERG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20673-2025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45776</v>
      </c>
      <c r="E176" s="1" t="n">
        <v>46219</v>
      </c>
      <c r="F176" t="inlineStr">
        <is>
          <t>ÖREBRO LÄN</t>
        </is>
      </c>
      <c r="G176" t="inlineStr">
        <is>
          <t>LJUSNARSBERG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57090-2022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46219</v>
      </c>
      <c r="F177" t="inlineStr">
        <is>
          <t>ÖREBRO LÄN</t>
        </is>
      </c>
      <c r="G177" t="inlineStr">
        <is>
          <t>LJUSNARSBERG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19738-2026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46219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19936-2026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46219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30002-2025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46219</v>
      </c>
      <c r="F180" t="inlineStr">
        <is>
          <t>ÖREBRO LÄN</t>
        </is>
      </c>
      <c r="G180" t="inlineStr">
        <is>
          <t>LJUSNARSBERG</t>
        </is>
      </c>
      <c r="H180" t="inlineStr">
        <is>
          <t>Sveaskog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19937-2026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46219</v>
      </c>
      <c r="F181" t="inlineStr">
        <is>
          <t>ÖREBRO LÄN</t>
        </is>
      </c>
      <c r="G181" t="inlineStr">
        <is>
          <t>LJUSNARSBERG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29572-2025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46219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30430-2025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46219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30428-2025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46219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30935-2025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45832</v>
      </c>
      <c r="E185" s="1" t="n">
        <v>46219</v>
      </c>
      <c r="F185" t="inlineStr">
        <is>
          <t>ÖREBRO LÄN</t>
        </is>
      </c>
      <c r="G185" t="inlineStr">
        <is>
          <t>LJUSNARSBERG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17276-2023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46219</v>
      </c>
      <c r="F186" t="inlineStr">
        <is>
          <t>ÖREBRO LÄN</t>
        </is>
      </c>
      <c r="G186" t="inlineStr">
        <is>
          <t>LJUSNARSBERG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27343-2025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46219</v>
      </c>
      <c r="F187" t="inlineStr">
        <is>
          <t>ÖREBRO LÄN</t>
        </is>
      </c>
      <c r="G187" t="inlineStr">
        <is>
          <t>LJUSNARSBERG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35151-2023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46219</v>
      </c>
      <c r="F188" t="inlineStr">
        <is>
          <t>ÖREBRO LÄN</t>
        </is>
      </c>
      <c r="G188" t="inlineStr">
        <is>
          <t>LJUSNARSBERG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62421-2022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44916</v>
      </c>
      <c r="E189" s="1" t="n">
        <v>46219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46219</v>
      </c>
      <c r="F190" t="inlineStr">
        <is>
          <t>ÖREBRO LÄN</t>
        </is>
      </c>
      <c r="G190" t="inlineStr">
        <is>
          <t>LJUSNARSBERG</t>
        </is>
      </c>
      <c r="H190" t="inlineStr">
        <is>
          <t>Kyrkan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46085-2024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46219</v>
      </c>
      <c r="F191" t="inlineStr">
        <is>
          <t>ÖREBRO LÄN</t>
        </is>
      </c>
      <c r="G191" t="inlineStr">
        <is>
          <t>LJUSNARSBERG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16613-2023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45030</v>
      </c>
      <c r="E192" s="1" t="n">
        <v>46219</v>
      </c>
      <c r="F192" t="inlineStr">
        <is>
          <t>ÖREBRO LÄN</t>
        </is>
      </c>
      <c r="G192" t="inlineStr">
        <is>
          <t>LJUSNARSBERG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36108-2024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46219</v>
      </c>
      <c r="F193" t="inlineStr">
        <is>
          <t>ÖREBRO LÄN</t>
        </is>
      </c>
      <c r="G193" t="inlineStr">
        <is>
          <t>LJUSNARSBERG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43638-2025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46219</v>
      </c>
      <c r="F194" t="inlineStr">
        <is>
          <t>ÖREBRO LÄN</t>
        </is>
      </c>
      <c r="G194" t="inlineStr">
        <is>
          <t>LJUSNARSBERG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46219</v>
      </c>
      <c r="F195" t="inlineStr">
        <is>
          <t>ÖREBRO LÄN</t>
        </is>
      </c>
      <c r="G195" t="inlineStr">
        <is>
          <t>LJUSNARSBERG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59629-2024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46219</v>
      </c>
      <c r="F196" t="inlineStr">
        <is>
          <t>ÖREBRO LÄN</t>
        </is>
      </c>
      <c r="G196" t="inlineStr">
        <is>
          <t>LJUSNARSBERG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26379-2026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46219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26847-2026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46219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21186-2026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46219</v>
      </c>
      <c r="F199" t="inlineStr">
        <is>
          <t>ÖREBRO LÄN</t>
        </is>
      </c>
      <c r="G199" t="inlineStr">
        <is>
          <t>LJUSNARSBERG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21202-2026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46146</v>
      </c>
      <c r="E200" s="1" t="n">
        <v>46219</v>
      </c>
      <c r="F200" t="inlineStr">
        <is>
          <t>ÖREBRO LÄN</t>
        </is>
      </c>
      <c r="G200" t="inlineStr">
        <is>
          <t>LJUSNARSBERG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47017-2025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46219</v>
      </c>
      <c r="F201" t="inlineStr">
        <is>
          <t>ÖREBRO LÄN</t>
        </is>
      </c>
      <c r="G201" t="inlineStr">
        <is>
          <t>LJUSNARSBERG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22366-2026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46219</v>
      </c>
      <c r="F202" t="inlineStr">
        <is>
          <t>ÖREBRO LÄN</t>
        </is>
      </c>
      <c r="G202" t="inlineStr">
        <is>
          <t>LJUSNARSBERG</t>
        </is>
      </c>
      <c r="I202" t="n">
        <v>14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32880-2025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46219</v>
      </c>
      <c r="F203" t="inlineStr">
        <is>
          <t>ÖREBRO LÄN</t>
        </is>
      </c>
      <c r="G203" t="inlineStr">
        <is>
          <t>LJUSNARSBERG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53595-2024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46219</v>
      </c>
      <c r="F204" t="inlineStr">
        <is>
          <t>ÖREBRO LÄN</t>
        </is>
      </c>
      <c r="G204" t="inlineStr">
        <is>
          <t>LJUSNARSBERG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46219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46219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46219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46219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880-2024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45376</v>
      </c>
      <c r="E209" s="1" t="n">
        <v>46219</v>
      </c>
      <c r="F209" t="inlineStr">
        <is>
          <t>ÖREBRO LÄN</t>
        </is>
      </c>
      <c r="G209" t="inlineStr">
        <is>
          <t>LJUSNARSBERG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3528-2023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45205</v>
      </c>
      <c r="E210" s="1" t="n">
        <v>46219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7278-2021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46219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46219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46219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46219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46219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46219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46219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46219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46219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2026-07-16T01:25:25Z</dcterms:created>
  <dcterms:modified xmlns:dcterms="http://purl.org/dc/terms/" xmlns:xsi="http://www.w3.org/2001/XMLSchema-instance" xsi:type="dcterms:W3CDTF">2026-07-16T01:25:25Z</dcterms:modified>
</cp:coreProperties>
</file>