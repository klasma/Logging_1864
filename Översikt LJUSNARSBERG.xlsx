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46226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46226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t="n">
        <v>26</v>
      </c>
      <c r="V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W3">
        <f>HYPERLINK("https://klasma.github.io/Logging_1864/artfynd/A 37817-2021 artfynd.xlsx", "A 37817-2021")</f>
        <v/>
      </c>
      <c r="X3">
        <f>HYPERLINK("https://klasma.github.io/Logging_1864/kartor/A 37817-2021 karta.png", "A 37817-2021")</f>
        <v/>
      </c>
      <c r="Y3">
        <f>HYPERLINK("https://klasma.github.io/Logging_1864/kartor_geotiff/A 37817-2021 georefererad karta.tif", "A 37817-2021")</f>
        <v/>
      </c>
      <c r="AA3">
        <f>HYPERLINK("https://klasma.github.io/Logging_1864/klagomål/A 37817-2021 FSC-klagomål.docx", "A 37817-2021")</f>
        <v/>
      </c>
      <c r="AB3">
        <f>HYPERLINK("https://klasma.github.io/Logging_1864/klagomålsmail/A 37817-2021 FSC-klagomål mail.docx", "A 37817-2021")</f>
        <v/>
      </c>
      <c r="AC3">
        <f>HYPERLINK("https://klasma.github.io/Logging_1864/tillsyn/A 37817-2021 tillsynsbegäran.docx", "A 37817-2021")</f>
        <v/>
      </c>
      <c r="AD3">
        <f>HYPERLINK("https://klasma.github.io/Logging_1864/tillsynsmail/A 37817-2021 tillsynsbegäran mail.docx", "A 37817-2021")</f>
        <v/>
      </c>
      <c r="AE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46226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t="n">
        <v>13</v>
      </c>
      <c r="V4" s="2" t="inlineStr">
        <is>
          <t>Garnlav
Brunpudrad nållav
Tretåig hackspett
Vedtrappmossa
Flagellkvastmossa
Gulnål
Mindre märgborre
Vedticka
Vågbandad barkbock</t>
        </is>
      </c>
      <c r="W4">
        <f>HYPERLINK("https://klasma.github.io/Logging_1864/artfynd/A 65215-2021 artfynd.xlsx", "A 65215-2021")</f>
        <v/>
      </c>
      <c r="X4">
        <f>HYPERLINK("https://klasma.github.io/Logging_1864/kartor/A 65215-2021 karta.png", "A 65215-2021")</f>
        <v/>
      </c>
      <c r="Y4">
        <f>HYPERLINK("https://klasma.github.io/Logging_1864/kartor_geotiff/A 65215-2021 georefererad karta.tif", "A 65215-2021")</f>
        <v/>
      </c>
      <c r="AA4">
        <f>HYPERLINK("https://klasma.github.io/Logging_1864/klagomål/A 65215-2021 FSC-klagomål.docx", "A 65215-2021")</f>
        <v/>
      </c>
      <c r="AB4">
        <f>HYPERLINK("https://klasma.github.io/Logging_1864/klagomålsmail/A 65215-2021 FSC-klagomål mail.docx", "A 65215-2021")</f>
        <v/>
      </c>
      <c r="AC4">
        <f>HYPERLINK("https://klasma.github.io/Logging_1864/tillsyn/A 65215-2021 tillsynsbegäran.docx", "A 65215-2021")</f>
        <v/>
      </c>
      <c r="AD4">
        <f>HYPERLINK("https://klasma.github.io/Logging_1864/tillsynsmail/A 65215-2021 tillsynsbegäran mail.docx", "A 65215-2021")</f>
        <v/>
      </c>
      <c r="AE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46226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t="n">
        <v>8</v>
      </c>
      <c r="V5" s="2" t="inlineStr">
        <is>
          <t>Garnlav
Brunpudrad nållav
Tallriska
Tretåig hackspett
Gulnål
Mindre märgborre
Thomsons trägnagare
Tjäder</t>
        </is>
      </c>
      <c r="W5">
        <f>HYPERLINK("https://klasma.github.io/Logging_1864/artfynd/A 65216-2021 artfynd.xlsx", "A 65216-2021")</f>
        <v/>
      </c>
      <c r="X5">
        <f>HYPERLINK("https://klasma.github.io/Logging_1864/kartor/A 65216-2021 karta.png", "A 65216-2021")</f>
        <v/>
      </c>
      <c r="Y5">
        <f>HYPERLINK("https://klasma.github.io/Logging_1864/kartor_geotiff/A 65216-2021 georefererad karta.tif", "A 65216-2021")</f>
        <v/>
      </c>
      <c r="AA5">
        <f>HYPERLINK("https://klasma.github.io/Logging_1864/klagomål/A 65216-2021 FSC-klagomål.docx", "A 65216-2021")</f>
        <v/>
      </c>
      <c r="AB5">
        <f>HYPERLINK("https://klasma.github.io/Logging_1864/klagomålsmail/A 65216-2021 FSC-klagomål mail.docx", "A 65216-2021")</f>
        <v/>
      </c>
      <c r="AC5">
        <f>HYPERLINK("https://klasma.github.io/Logging_1864/tillsyn/A 65216-2021 tillsynsbegäran.docx", "A 65216-2021")</f>
        <v/>
      </c>
      <c r="AD5">
        <f>HYPERLINK("https://klasma.github.io/Logging_1864/tillsynsmail/A 65216-2021 tillsynsbegäran mail.docx", "A 65216-2021")</f>
        <v/>
      </c>
      <c r="AE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46226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t="n">
        <v>8</v>
      </c>
      <c r="V6" s="2" t="inlineStr">
        <is>
          <t>Garnlav
Talltita
Vedticka
Spillkråka
Tofsmes
Kungsfågel
Svartvit flugsnappare</t>
        </is>
      </c>
      <c r="W6">
        <f>HYPERLINK("https://klasma.github.io/Logging_1864/artfynd/A 45797-2021 artfynd.xlsx", "A 45797-2021")</f>
        <v/>
      </c>
      <c r="X6">
        <f>HYPERLINK("https://klasma.github.io/Logging_1864/kartor/A 45797-2021 karta.png", "A 45797-2021")</f>
        <v/>
      </c>
      <c r="Y6">
        <f>HYPERLINK("https://klasma.github.io/Logging_1864/kartor_geotiff/A 45797-2021 georefererad karta.tif", "A 45797-2021")</f>
        <v/>
      </c>
      <c r="AA6">
        <f>HYPERLINK("https://klasma.github.io/Logging_1864/klagomål/A 45797-2021 FSC-klagomål.docx", "A 45797-2021")</f>
        <v/>
      </c>
      <c r="AB6">
        <f>HYPERLINK("https://klasma.github.io/Logging_1864/klagomålsmail/A 45797-2021 FSC-klagomål mail.docx", "A 45797-2021")</f>
        <v/>
      </c>
      <c r="AC6">
        <f>HYPERLINK("https://klasma.github.io/Logging_1864/tillsyn/A 45797-2021 tillsynsbegäran.docx", "A 45797-2021")</f>
        <v/>
      </c>
      <c r="AD6">
        <f>HYPERLINK("https://klasma.github.io/Logging_1864/tillsynsmail/A 45797-2021 tillsynsbegäran mail.docx", "A 45797-2021")</f>
        <v/>
      </c>
      <c r="AE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46226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11444-2026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46083</v>
      </c>
      <c r="E8" s="1" t="n">
        <v>46226</v>
      </c>
      <c r="F8" t="inlineStr">
        <is>
          <t>ÖREBRO LÄN</t>
        </is>
      </c>
      <c r="G8" t="inlineStr">
        <is>
          <t>LJUSNARSBERG</t>
        </is>
      </c>
      <c r="I8" t="n">
        <v>41.9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12</v>
      </c>
      <c r="U8" t="n">
        <v>12</v>
      </c>
      <c r="V8" s="2" t="inlineStr">
        <is>
          <t>Älg
Mindre märgborre
Mattlummer
Spillkråka
Tjäder
Kungsfågel</t>
        </is>
      </c>
      <c r="W8">
        <f>HYPERLINK("https://klasma.github.io/Logging_1864/artfynd/A 11444-2026 artfynd.xlsx", "A 11444-2026")</f>
        <v/>
      </c>
      <c r="X8">
        <f>HYPERLINK("https://klasma.github.io/Logging_1864/kartor/A 11444-2026 karta.png", "A 11444-2026")</f>
        <v/>
      </c>
      <c r="Y8">
        <f>HYPERLINK("https://klasma.github.io/Logging_1864/kartor_geotiff/A 11444-2026 georefererad karta.tif", "A 11444-2026")</f>
        <v/>
      </c>
      <c r="AA8">
        <f>HYPERLINK("https://klasma.github.io/Logging_1864/klagomål/A 11444-2026 FSC-klagomål.docx", "A 11444-2026")</f>
        <v/>
      </c>
      <c r="AB8">
        <f>HYPERLINK("https://klasma.github.io/Logging_1864/klagomålsmail/A 11444-2026 FSC-klagomål mail.docx", "A 11444-2026")</f>
        <v/>
      </c>
      <c r="AC8">
        <f>HYPERLINK("https://klasma.github.io/Logging_1864/tillsyn/A 11444-2026 tillsynsbegäran.docx", "A 11444-2026")</f>
        <v/>
      </c>
      <c r="AD8">
        <f>HYPERLINK("https://klasma.github.io/Logging_1864/tillsynsmail/A 11444-2026 tillsynsbegäran mail.docx", "A 11444-2026")</f>
        <v/>
      </c>
      <c r="AE8">
        <f>HYPERLINK("https://klasma.github.io/Logging_1864/fåglar/A 11444-2026 prioriterade fågelarter.docx", "A 11444-2026")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46226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44515</v>
      </c>
      <c r="E10" s="1" t="n">
        <v>46226</v>
      </c>
      <c r="F10" t="inlineStr">
        <is>
          <t>ÖREBRO LÄN</t>
        </is>
      </c>
      <c r="G10" t="inlineStr">
        <is>
          <t>LJUSNARSBERG</t>
        </is>
      </c>
      <c r="H10" t="inlineStr">
        <is>
          <t>Bergvik skog väst AB</t>
        </is>
      </c>
      <c r="I10" t="n">
        <v>1.3</v>
      </c>
      <c r="J10" t="n">
        <v>1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5</v>
      </c>
      <c r="T10" t="n">
        <v>12</v>
      </c>
      <c r="U10" t="n">
        <v>12</v>
      </c>
      <c r="V10" s="2" t="inlineStr">
        <is>
          <t>Motaggsvamp
Tallriska
Tretåig hackspett
Vedtrappmossa
Bollvitmossa</t>
        </is>
      </c>
      <c r="W10">
        <f>HYPERLINK("https://klasma.github.io/Logging_1864/artfynd/A 65217-2021 artfynd.xlsx", "A 65217-2021")</f>
        <v/>
      </c>
      <c r="X10">
        <f>HYPERLINK("https://klasma.github.io/Logging_1864/kartor/A 65217-2021 karta.png", "A 65217-2021")</f>
        <v/>
      </c>
      <c r="Y10">
        <f>HYPERLINK("https://klasma.github.io/Logging_1864/kartor_geotiff/A 65217-2021 georefererad karta.tif", "A 65217-2021")</f>
        <v/>
      </c>
      <c r="AA10">
        <f>HYPERLINK("https://klasma.github.io/Logging_1864/klagomål/A 65217-2021 FSC-klagomål.docx", "A 65217-2021")</f>
        <v/>
      </c>
      <c r="AB10">
        <f>HYPERLINK("https://klasma.github.io/Logging_1864/klagomålsmail/A 65217-2021 FSC-klagomål mail.docx", "A 65217-2021")</f>
        <v/>
      </c>
      <c r="AC10">
        <f>HYPERLINK("https://klasma.github.io/Logging_1864/tillsyn/A 65217-2021 tillsynsbegäran.docx", "A 65217-2021")</f>
        <v/>
      </c>
      <c r="AD10">
        <f>HYPERLINK("https://klasma.github.io/Logging_1864/tillsynsmail/A 65217-2021 tillsynsbegäran mail.docx", "A 65217-2021")</f>
        <v/>
      </c>
      <c r="AE10">
        <f>HYPERLINK("https://klasma.github.io/Logging_1864/fåglar/A 65217-2021 prioriterade fågelarter.docx", "A 65217-2021")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46226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18853-2026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46127</v>
      </c>
      <c r="E12" s="1" t="n">
        <v>46226</v>
      </c>
      <c r="F12" t="inlineStr">
        <is>
          <t>ÖREBRO LÄN</t>
        </is>
      </c>
      <c r="G12" t="inlineStr">
        <is>
          <t>LJUSNARSBERG</t>
        </is>
      </c>
      <c r="I12" t="n">
        <v>9.5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Entita
Bronshjon
Spillkråka
Grönsiska
Kungsfågel</t>
        </is>
      </c>
      <c r="W12">
        <f>HYPERLINK("https://klasma.github.io/Logging_1864/artfynd/A 18853-2026 artfynd.xlsx", "A 18853-2026")</f>
        <v/>
      </c>
      <c r="X12">
        <f>HYPERLINK("https://klasma.github.io/Logging_1864/kartor/A 18853-2026 karta.png", "A 18853-2026")</f>
        <v/>
      </c>
      <c r="Y12">
        <f>HYPERLINK("https://klasma.github.io/Logging_1864/kartor_geotiff/A 18853-2026 georefererad karta.tif", "A 18853-2026")</f>
        <v/>
      </c>
      <c r="AA12">
        <f>HYPERLINK("https://klasma.github.io/Logging_1864/klagomål/A 18853-2026 FSC-klagomål.docx", "A 18853-2026")</f>
        <v/>
      </c>
      <c r="AB12">
        <f>HYPERLINK("https://klasma.github.io/Logging_1864/klagomålsmail/A 18853-2026 FSC-klagomål mail.docx", "A 18853-2026")</f>
        <v/>
      </c>
      <c r="AC12">
        <f>HYPERLINK("https://klasma.github.io/Logging_1864/tillsyn/A 18853-2026 tillsynsbegäran.docx", "A 18853-2026")</f>
        <v/>
      </c>
      <c r="AD12">
        <f>HYPERLINK("https://klasma.github.io/Logging_1864/tillsynsmail/A 18853-2026 tillsynsbegäran mail.docx", "A 18853-2026")</f>
        <v/>
      </c>
      <c r="AE12">
        <f>HYPERLINK("https://klasma.github.io/Logging_1864/fåglar/A 18853-2026 prioriterade fågelarter.docx", "A 18853-2026")</f>
        <v/>
      </c>
    </row>
    <row r="13" ht="15" customHeight="1">
      <c r="A13" t="inlineStr">
        <is>
          <t>A 43996-2021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44434</v>
      </c>
      <c r="E13" s="1" t="n">
        <v>46226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8.4</v>
      </c>
      <c r="J13" t="n">
        <v>3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Fältgentiana
Tvåblad
Fläcknycklar
Nattviol</t>
        </is>
      </c>
      <c r="W13">
        <f>HYPERLINK("https://klasma.github.io/Logging_1864/artfynd/A 43996-2021 artfynd.xlsx", "A 43996-2021")</f>
        <v/>
      </c>
      <c r="X13">
        <f>HYPERLINK("https://klasma.github.io/Logging_1864/kartor/A 43996-2021 karta.png", "A 43996-2021")</f>
        <v/>
      </c>
      <c r="Y13">
        <f>HYPERLINK("https://klasma.github.io/Logging_1864/kartor_geotiff/A 43996-2021 georefererad karta.tif", "A 43996-2021")</f>
        <v/>
      </c>
      <c r="AA13">
        <f>HYPERLINK("https://klasma.github.io/Logging_1864/klagomål/A 43996-2021 FSC-klagomål.docx", "A 43996-2021")</f>
        <v/>
      </c>
      <c r="AB13">
        <f>HYPERLINK("https://klasma.github.io/Logging_1864/klagomålsmail/A 43996-2021 FSC-klagomål mail.docx", "A 43996-2021")</f>
        <v/>
      </c>
      <c r="AC13">
        <f>HYPERLINK("https://klasma.github.io/Logging_1864/tillsyn/A 43996-2021 tillsynsbegäran.docx", "A 43996-2021")</f>
        <v/>
      </c>
      <c r="AD13">
        <f>HYPERLINK("https://klasma.github.io/Logging_1864/tillsynsmail/A 43996-2021 tillsynsbegäran mail.docx", "A 43996-2021")</f>
        <v/>
      </c>
    </row>
    <row r="14" ht="15" customHeight="1">
      <c r="A14" t="inlineStr">
        <is>
          <t>A 57978-2025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46226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1.5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7</v>
      </c>
      <c r="U14" t="n">
        <v>0</v>
      </c>
      <c r="V14" s="2" t="inlineStr">
        <is>
          <t>Tvåblad
Brudsporre
Grönvit nattviol
Nattviol</t>
        </is>
      </c>
      <c r="W14">
        <f>HYPERLINK("https://klasma.github.io/Logging_1864/artfynd/A 57978-2025 artfynd.xlsx", "A 57978-2025")</f>
        <v/>
      </c>
      <c r="X14">
        <f>HYPERLINK("https://klasma.github.io/Logging_1864/kartor/A 57978-2025 karta.png", "A 57978-2025")</f>
        <v/>
      </c>
      <c r="Y14">
        <f>HYPERLINK("https://klasma.github.io/Logging_1864/kartor_geotiff/A 57978-2025 georefererad karta.tif", "A 57978-2025")</f>
        <v/>
      </c>
      <c r="AA14">
        <f>HYPERLINK("https://klasma.github.io/Logging_1864/klagomål/A 57978-2025 FSC-klagomål.docx", "A 57978-2025")</f>
        <v/>
      </c>
      <c r="AB14">
        <f>HYPERLINK("https://klasma.github.io/Logging_1864/klagomålsmail/A 57978-2025 FSC-klagomål mail.docx", "A 57978-2025")</f>
        <v/>
      </c>
      <c r="AC14">
        <f>HYPERLINK("https://klasma.github.io/Logging_1864/tillsyn/A 57978-2025 tillsynsbegäran.docx", "A 57978-2025")</f>
        <v/>
      </c>
      <c r="AD14">
        <f>HYPERLINK("https://klasma.github.io/Logging_1864/tillsynsmail/A 57978-2025 tillsynsbegäran mail.docx", "A 57978-2025")</f>
        <v/>
      </c>
    </row>
    <row r="15" ht="15" customHeight="1">
      <c r="A15" t="inlineStr">
        <is>
          <t>A 24307-2026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46226</v>
      </c>
      <c r="F15" t="inlineStr">
        <is>
          <t>ÖREBRO LÄN</t>
        </is>
      </c>
      <c r="G15" t="inlineStr">
        <is>
          <t>LJUSNARSBERG</t>
        </is>
      </c>
      <c r="I15" t="n">
        <v>10.5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11</v>
      </c>
      <c r="U15" t="n">
        <v>11</v>
      </c>
      <c r="V15" s="2" t="inlineStr">
        <is>
          <t>Tretåig hackspett
Tjäder
Vanlig groda
Fläcknycklar</t>
        </is>
      </c>
      <c r="W15">
        <f>HYPERLINK("https://klasma.github.io/Logging_1864/artfynd/A 24307-2026 artfynd.xlsx", "A 24307-2026")</f>
        <v/>
      </c>
      <c r="X15">
        <f>HYPERLINK("https://klasma.github.io/Logging_1864/kartor/A 24307-2026 karta.png", "A 24307-2026")</f>
        <v/>
      </c>
      <c r="Y15">
        <f>HYPERLINK("https://klasma.github.io/Logging_1864/kartor_geotiff/A 24307-2026 georefererad karta.tif", "A 24307-2026")</f>
        <v/>
      </c>
      <c r="AA15">
        <f>HYPERLINK("https://klasma.github.io/Logging_1864/klagomål/A 24307-2026 FSC-klagomål.docx", "A 24307-2026")</f>
        <v/>
      </c>
      <c r="AB15">
        <f>HYPERLINK("https://klasma.github.io/Logging_1864/klagomålsmail/A 24307-2026 FSC-klagomål mail.docx", "A 24307-2026")</f>
        <v/>
      </c>
      <c r="AC15">
        <f>HYPERLINK("https://klasma.github.io/Logging_1864/tillsyn/A 24307-2026 tillsynsbegäran.docx", "A 24307-2026")</f>
        <v/>
      </c>
      <c r="AD15">
        <f>HYPERLINK("https://klasma.github.io/Logging_1864/tillsynsmail/A 24307-2026 tillsynsbegäran mail.docx", "A 24307-2026")</f>
        <v/>
      </c>
      <c r="AE15">
        <f>HYPERLINK("https://klasma.github.io/Logging_1864/fåglar/A 24307-2026 prioriterade fågelarter.docx", "A 24307-2026")</f>
        <v/>
      </c>
    </row>
    <row r="16" ht="15" customHeight="1">
      <c r="A16" t="inlineStr">
        <is>
          <t>A 49300-2025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46226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7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Rynkskinn
Ullticka
Vedticka</t>
        </is>
      </c>
      <c r="W16">
        <f>HYPERLINK("https://klasma.github.io/Logging_1864/artfynd/A 49300-2025 artfynd.xlsx", "A 49300-2025")</f>
        <v/>
      </c>
      <c r="X16">
        <f>HYPERLINK("https://klasma.github.io/Logging_1864/kartor/A 49300-2025 karta.png", "A 49300-2025")</f>
        <v/>
      </c>
      <c r="Y16">
        <f>HYPERLINK("https://klasma.github.io/Logging_1864/kartor_geotiff/A 49300-2025 georefererad karta.tif", "A 49300-2025")</f>
        <v/>
      </c>
      <c r="AA16">
        <f>HYPERLINK("https://klasma.github.io/Logging_1864/klagomål/A 49300-2025 FSC-klagomål.docx", "A 49300-2025")</f>
        <v/>
      </c>
      <c r="AB16">
        <f>HYPERLINK("https://klasma.github.io/Logging_1864/klagomålsmail/A 49300-2025 FSC-klagomål mail.docx", "A 49300-2025")</f>
        <v/>
      </c>
      <c r="AC16">
        <f>HYPERLINK("https://klasma.github.io/Logging_1864/tillsyn/A 49300-2025 tillsynsbegäran.docx", "A 49300-2025")</f>
        <v/>
      </c>
      <c r="AD16">
        <f>HYPERLINK("https://klasma.github.io/Logging_1864/tillsynsmail/A 49300-2025 tillsynsbegäran mail.docx", "A 49300-2025")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46226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Tvåblad
Nattviol</t>
        </is>
      </c>
      <c r="W17">
        <f>HYPERLINK("https://klasma.github.io/Logging_1864/artfynd/A 40854-2025 artfynd.xlsx", "A 40854-2025")</f>
        <v/>
      </c>
      <c r="X17">
        <f>HYPERLINK("https://klasma.github.io/Logging_1864/kartor/A 40854-2025 karta.png", "A 40854-2025")</f>
        <v/>
      </c>
      <c r="Y17">
        <f>HYPERLINK("https://klasma.github.io/Logging_1864/kartor_geotiff/A 40854-2025 georefererad karta.tif", "A 40854-2025")</f>
        <v/>
      </c>
      <c r="AA17">
        <f>HYPERLINK("https://klasma.github.io/Logging_1864/klagomål/A 40854-2025 FSC-klagomål.docx", "A 40854-2025")</f>
        <v/>
      </c>
      <c r="AB17">
        <f>HYPERLINK("https://klasma.github.io/Logging_1864/klagomålsmail/A 40854-2025 FSC-klagomål mail.docx", "A 40854-2025")</f>
        <v/>
      </c>
      <c r="AC17">
        <f>HYPERLINK("https://klasma.github.io/Logging_1864/tillsyn/A 40854-2025 tillsynsbegäran.docx", "A 40854-2025")</f>
        <v/>
      </c>
      <c r="AD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46226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46226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46226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62105-2022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44920</v>
      </c>
      <c r="E21" s="1" t="n">
        <v>46226</v>
      </c>
      <c r="F21" t="inlineStr">
        <is>
          <t>ÖREBRO LÄN</t>
        </is>
      </c>
      <c r="G21" t="inlineStr">
        <is>
          <t>LJUSNARSBERG</t>
        </is>
      </c>
      <c r="I21" t="n">
        <v>5.7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7</v>
      </c>
      <c r="V21" s="2" t="inlineStr">
        <is>
          <t>Spillkråka
Kungsfågel</t>
        </is>
      </c>
      <c r="W21">
        <f>HYPERLINK("https://klasma.github.io/Logging_1864/artfynd/A 62105-2022 artfynd.xlsx", "A 62105-2022")</f>
        <v/>
      </c>
      <c r="X21">
        <f>HYPERLINK("https://klasma.github.io/Logging_1864/kartor/A 62105-2022 karta.png", "A 62105-2022")</f>
        <v/>
      </c>
      <c r="Y21">
        <f>HYPERLINK("https://klasma.github.io/Logging_1864/kartor_geotiff/A 62105-2022 georefererad karta.tif", "A 62105-2022")</f>
        <v/>
      </c>
      <c r="AA21">
        <f>HYPERLINK("https://klasma.github.io/Logging_1864/klagomål/A 62105-2022 FSC-klagomål.docx", "A 62105-2022")</f>
        <v/>
      </c>
      <c r="AB21">
        <f>HYPERLINK("https://klasma.github.io/Logging_1864/klagomålsmail/A 62105-2022 FSC-klagomål mail.docx", "A 62105-2022")</f>
        <v/>
      </c>
      <c r="AC21">
        <f>HYPERLINK("https://klasma.github.io/Logging_1864/tillsyn/A 62105-2022 tillsynsbegäran.docx", "A 62105-2022")</f>
        <v/>
      </c>
      <c r="AD21">
        <f>HYPERLINK("https://klasma.github.io/Logging_1864/tillsynsmail/A 62105-2022 tillsynsbegäran mail.docx", "A 62105-2022")</f>
        <v/>
      </c>
      <c r="AE21">
        <f>HYPERLINK("https://klasma.github.io/Logging_1864/fåglar/A 62105-2022 prioriterade fågelarter.docx", "A 62105-2022")</f>
        <v/>
      </c>
    </row>
    <row r="22" ht="15" customHeight="1">
      <c r="A22" t="inlineStr">
        <is>
          <t>A 53729-2024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46226</v>
      </c>
      <c r="F22" t="inlineStr">
        <is>
          <t>ÖREBRO LÄN</t>
        </is>
      </c>
      <c r="G22" t="inlineStr">
        <is>
          <t>LJUSNARSBERG</t>
        </is>
      </c>
      <c r="I22" t="n">
        <v>14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Aspfjädermossa
Smal svampklubba</t>
        </is>
      </c>
      <c r="W22">
        <f>HYPERLINK("https://klasma.github.io/Logging_1864/artfynd/A 53729-2024 artfynd.xlsx", "A 53729-2024")</f>
        <v/>
      </c>
      <c r="X22">
        <f>HYPERLINK("https://klasma.github.io/Logging_1864/kartor/A 53729-2024 karta.png", "A 53729-2024")</f>
        <v/>
      </c>
      <c r="Y22">
        <f>HYPERLINK("https://klasma.github.io/Logging_1864/kartor_geotiff/A 53729-2024 georefererad karta.tif", "A 53729-2024")</f>
        <v/>
      </c>
      <c r="AA22">
        <f>HYPERLINK("https://klasma.github.io/Logging_1864/klagomål/A 53729-2024 FSC-klagomål.docx", "A 53729-2024")</f>
        <v/>
      </c>
      <c r="AB22">
        <f>HYPERLINK("https://klasma.github.io/Logging_1864/klagomålsmail/A 53729-2024 FSC-klagomål mail.docx", "A 53729-2024")</f>
        <v/>
      </c>
      <c r="AC22">
        <f>HYPERLINK("https://klasma.github.io/Logging_1864/tillsyn/A 53729-2024 tillsynsbegäran.docx", "A 53729-2024")</f>
        <v/>
      </c>
      <c r="AD22">
        <f>HYPERLINK("https://klasma.github.io/Logging_1864/tillsynsmail/A 53729-2024 tillsynsbegäran mail.docx", "A 53729-2024")</f>
        <v/>
      </c>
    </row>
    <row r="23" ht="15" customHeight="1">
      <c r="A23" t="inlineStr">
        <is>
          <t>A 45536-2024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45578</v>
      </c>
      <c r="E23" s="1" t="n">
        <v>46226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5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Tvåblad
Fläcknycklar</t>
        </is>
      </c>
      <c r="W23">
        <f>HYPERLINK("https://klasma.github.io/Logging_1864/artfynd/A 45536-2024 artfynd.xlsx", "A 45536-2024")</f>
        <v/>
      </c>
      <c r="X23">
        <f>HYPERLINK("https://klasma.github.io/Logging_1864/kartor/A 45536-2024 karta.png", "A 45536-2024")</f>
        <v/>
      </c>
      <c r="Y23">
        <f>HYPERLINK("https://klasma.github.io/Logging_1864/kartor_geotiff/A 45536-2024 georefererad karta.tif", "A 45536-2024")</f>
        <v/>
      </c>
      <c r="AA23">
        <f>HYPERLINK("https://klasma.github.io/Logging_1864/klagomål/A 45536-2024 FSC-klagomål.docx", "A 45536-2024")</f>
        <v/>
      </c>
      <c r="AB23">
        <f>HYPERLINK("https://klasma.github.io/Logging_1864/klagomålsmail/A 45536-2024 FSC-klagomål mail.docx", "A 45536-2024")</f>
        <v/>
      </c>
      <c r="AC23">
        <f>HYPERLINK("https://klasma.github.io/Logging_1864/tillsyn/A 45536-2024 tillsynsbegäran.docx", "A 45536-2024")</f>
        <v/>
      </c>
      <c r="AD23">
        <f>HYPERLINK("https://klasma.github.io/Logging_1864/tillsynsmail/A 45536-2024 tillsynsbegäran mail.docx", "A 45536-2024")</f>
        <v/>
      </c>
    </row>
    <row r="24" ht="15" customHeight="1">
      <c r="A24" t="inlineStr">
        <is>
          <t>A 39514-2025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46226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Nattviol</t>
        </is>
      </c>
      <c r="W24">
        <f>HYPERLINK("https://klasma.github.io/Logging_1864/artfynd/A 39514-2025 artfynd.xlsx", "A 39514-2025")</f>
        <v/>
      </c>
      <c r="X24">
        <f>HYPERLINK("https://klasma.github.io/Logging_1864/kartor/A 39514-2025 karta.png", "A 39514-2025")</f>
        <v/>
      </c>
      <c r="Y24">
        <f>HYPERLINK("https://klasma.github.io/Logging_1864/kartor_geotiff/A 39514-2025 georefererad karta.tif", "A 39514-2025")</f>
        <v/>
      </c>
      <c r="AA24">
        <f>HYPERLINK("https://klasma.github.io/Logging_1864/klagomål/A 39514-2025 FSC-klagomål.docx", "A 39514-2025")</f>
        <v/>
      </c>
      <c r="AB24">
        <f>HYPERLINK("https://klasma.github.io/Logging_1864/klagomålsmail/A 39514-2025 FSC-klagomål mail.docx", "A 39514-2025")</f>
        <v/>
      </c>
      <c r="AC24">
        <f>HYPERLINK("https://klasma.github.io/Logging_1864/tillsyn/A 39514-2025 tillsynsbegäran.docx", "A 39514-2025")</f>
        <v/>
      </c>
      <c r="AD24">
        <f>HYPERLINK("https://klasma.github.io/Logging_1864/tillsynsmail/A 39514-2025 tillsynsbegäran mail.docx", "A 39514-2025")</f>
        <v/>
      </c>
    </row>
    <row r="25" ht="15" customHeight="1">
      <c r="A25" t="inlineStr">
        <is>
          <t>A 56179-2024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46226</v>
      </c>
      <c r="F25" t="inlineStr">
        <is>
          <t>ÖREBRO LÄN</t>
        </is>
      </c>
      <c r="G25" t="inlineStr">
        <is>
          <t>LJUSNARSBERG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Vedticka</t>
        </is>
      </c>
      <c r="W25">
        <f>HYPERLINK("https://klasma.github.io/Logging_1864/artfynd/A 56179-2024 artfynd.xlsx", "A 56179-2024")</f>
        <v/>
      </c>
      <c r="X25">
        <f>HYPERLINK("https://klasma.github.io/Logging_1864/kartor/A 56179-2024 karta.png", "A 56179-2024")</f>
        <v/>
      </c>
      <c r="Y25">
        <f>HYPERLINK("https://klasma.github.io/Logging_1864/kartor_geotiff/A 56179-2024 georefererad karta.tif", "A 56179-2024")</f>
        <v/>
      </c>
      <c r="AA25">
        <f>HYPERLINK("https://klasma.github.io/Logging_1864/klagomål/A 56179-2024 FSC-klagomål.docx", "A 56179-2024")</f>
        <v/>
      </c>
      <c r="AB25">
        <f>HYPERLINK("https://klasma.github.io/Logging_1864/klagomålsmail/A 56179-2024 FSC-klagomål mail.docx", "A 56179-2024")</f>
        <v/>
      </c>
      <c r="AC25">
        <f>HYPERLINK("https://klasma.github.io/Logging_1864/tillsyn/A 56179-2024 tillsynsbegäran.docx", "A 56179-2024")</f>
        <v/>
      </c>
      <c r="AD25">
        <f>HYPERLINK("https://klasma.github.io/Logging_1864/tillsynsmail/A 56179-2024 tillsynsbegäran mail.docx", "A 56179-2024")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46226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46226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19940-2026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46136</v>
      </c>
      <c r="E28" s="1" t="n">
        <v>46226</v>
      </c>
      <c r="F28" t="inlineStr">
        <is>
          <t>ÖREBRO LÄN</t>
        </is>
      </c>
      <c r="G28" t="inlineStr">
        <is>
          <t>LJUSNARSBERG</t>
        </is>
      </c>
      <c r="H28" t="inlineStr">
        <is>
          <t>Sveaskog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HYPERLINK("https://klasma.github.io/Logging_1864/artfynd/A 19940-2026 artfynd.xlsx", "A 19940-2026")</f>
        <v/>
      </c>
      <c r="X28">
        <f>HYPERLINK("https://klasma.github.io/Logging_1864/kartor/A 19940-2026 karta.png", "A 19940-2026")</f>
        <v/>
      </c>
      <c r="Y28">
        <f>HYPERLINK("https://klasma.github.io/Logging_1864/kartor_geotiff/A 19940-2026 georefererad karta.tif", "A 19940-2026")</f>
        <v/>
      </c>
      <c r="AA28">
        <f>HYPERLINK("https://klasma.github.io/Logging_1864/klagomål/A 19940-2026 FSC-klagomål.docx", "A 19940-2026")</f>
        <v/>
      </c>
      <c r="AB28">
        <f>HYPERLINK("https://klasma.github.io/Logging_1864/klagomålsmail/A 19940-2026 FSC-klagomål mail.docx", "A 19940-2026")</f>
        <v/>
      </c>
      <c r="AC28">
        <f>HYPERLINK("https://klasma.github.io/Logging_1864/tillsyn/A 19940-2026 tillsynsbegäran.docx", "A 19940-2026")</f>
        <v/>
      </c>
      <c r="AD28">
        <f>HYPERLINK("https://klasma.github.io/Logging_1864/tillsynsmail/A 19940-2026 tillsynsbegäran mail.docx", "A 19940-2026")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46226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A 18857-2026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46127</v>
      </c>
      <c r="E30" s="1" t="n">
        <v>46226</v>
      </c>
      <c r="F30" t="inlineStr">
        <is>
          <t>ÖREBRO LÄN</t>
        </is>
      </c>
      <c r="G30" t="inlineStr">
        <is>
          <t>LJUSNARSBERG</t>
        </is>
      </c>
      <c r="I30" t="n">
        <v>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Trana</t>
        </is>
      </c>
      <c r="W30">
        <f>HYPERLINK("https://klasma.github.io/Logging_1864/artfynd/A 18857-2026 artfynd.xlsx", "A 18857-2026")</f>
        <v/>
      </c>
      <c r="X30">
        <f>HYPERLINK("https://klasma.github.io/Logging_1864/kartor/A 18857-2026 karta.png", "A 18857-2026")</f>
        <v/>
      </c>
      <c r="Y30">
        <f>HYPERLINK("https://klasma.github.io/Logging_1864/kartor_geotiff/A 18857-2026 georefererad karta.tif", "A 18857-2026")</f>
        <v/>
      </c>
      <c r="AA30">
        <f>HYPERLINK("https://klasma.github.io/Logging_1864/klagomål/A 18857-2026 FSC-klagomål.docx", "A 18857-2026")</f>
        <v/>
      </c>
      <c r="AB30">
        <f>HYPERLINK("https://klasma.github.io/Logging_1864/klagomålsmail/A 18857-2026 FSC-klagomål mail.docx", "A 18857-2026")</f>
        <v/>
      </c>
      <c r="AC30">
        <f>HYPERLINK("https://klasma.github.io/Logging_1864/tillsyn/A 18857-2026 tillsynsbegäran.docx", "A 18857-2026")</f>
        <v/>
      </c>
      <c r="AD30">
        <f>HYPERLINK("https://klasma.github.io/Logging_1864/tillsynsmail/A 18857-2026 tillsynsbegäran mail.docx", "A 18857-2026")</f>
        <v/>
      </c>
      <c r="AE30">
        <f>HYPERLINK("https://klasma.github.io/Logging_1864/fåglar/A 18857-2026 prioriterade fågelarter.docx", "A 18857-2026")</f>
        <v/>
      </c>
    </row>
    <row r="31" ht="15" customHeight="1">
      <c r="A31" t="inlineStr">
        <is>
          <t>A 24348-2026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46226</v>
      </c>
      <c r="F31" t="inlineStr">
        <is>
          <t>ÖREBRO LÄN</t>
        </is>
      </c>
      <c r="G31" t="inlineStr">
        <is>
          <t>LJUSNARSBERG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HYPERLINK("https://klasma.github.io/Logging_1864/artfynd/A 24348-2026 artfynd.xlsx", "A 24348-2026")</f>
        <v/>
      </c>
      <c r="X31">
        <f>HYPERLINK("https://klasma.github.io/Logging_1864/kartor/A 24348-2026 karta.png", "A 24348-2026")</f>
        <v/>
      </c>
      <c r="Y31">
        <f>HYPERLINK("https://klasma.github.io/Logging_1864/kartor_geotiff/A 24348-2026 georefererad karta.tif", "A 24348-2026")</f>
        <v/>
      </c>
      <c r="AA31">
        <f>HYPERLINK("https://klasma.github.io/Logging_1864/klagomål/A 24348-2026 FSC-klagomål.docx", "A 24348-2026")</f>
        <v/>
      </c>
      <c r="AB31">
        <f>HYPERLINK("https://klasma.github.io/Logging_1864/klagomålsmail/A 24348-2026 FSC-klagomål mail.docx", "A 24348-2026")</f>
        <v/>
      </c>
      <c r="AC31">
        <f>HYPERLINK("https://klasma.github.io/Logging_1864/tillsyn/A 24348-2026 tillsynsbegäran.docx", "A 24348-2026")</f>
        <v/>
      </c>
      <c r="AD31">
        <f>HYPERLINK("https://klasma.github.io/Logging_1864/tillsynsmail/A 24348-2026 tillsynsbegäran mail.docx", "A 24348-2026")</f>
        <v/>
      </c>
      <c r="AE31">
        <f>HYPERLINK("https://klasma.github.io/Logging_1864/fåglar/A 24348-2026 prioriterade fågelarter.docx", "A 24348-2026")</f>
        <v/>
      </c>
    </row>
    <row r="32" ht="15" customHeight="1">
      <c r="A32" t="inlineStr">
        <is>
          <t>A 24299-2026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46226</v>
      </c>
      <c r="F32" t="inlineStr">
        <is>
          <t>ÖREBRO LÄN</t>
        </is>
      </c>
      <c r="G32" t="inlineStr">
        <is>
          <t>LJUSNARSBERG</t>
        </is>
      </c>
      <c r="I32" t="n">
        <v>10.8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HYPERLINK("https://klasma.github.io/Logging_1864/artfynd/A 24299-2026 artfynd.xlsx", "A 24299-2026")</f>
        <v/>
      </c>
      <c r="X32">
        <f>HYPERLINK("https://klasma.github.io/Logging_1864/kartor/A 24299-2026 karta.png", "A 24299-2026")</f>
        <v/>
      </c>
      <c r="Y32">
        <f>HYPERLINK("https://klasma.github.io/Logging_1864/kartor_geotiff/A 24299-2026 georefererad karta.tif", "A 24299-2026")</f>
        <v/>
      </c>
      <c r="AA32">
        <f>HYPERLINK("https://klasma.github.io/Logging_1864/klagomål/A 24299-2026 FSC-klagomål.docx", "A 24299-2026")</f>
        <v/>
      </c>
      <c r="AB32">
        <f>HYPERLINK("https://klasma.github.io/Logging_1864/klagomålsmail/A 24299-2026 FSC-klagomål mail.docx", "A 24299-2026")</f>
        <v/>
      </c>
      <c r="AC32">
        <f>HYPERLINK("https://klasma.github.io/Logging_1864/tillsyn/A 24299-2026 tillsynsbegäran.docx", "A 24299-2026")</f>
        <v/>
      </c>
      <c r="AD32">
        <f>HYPERLINK("https://klasma.github.io/Logging_1864/tillsynsmail/A 24299-2026 tillsynsbegäran mail.docx", "A 24299-2026")</f>
        <v/>
      </c>
      <c r="AE32">
        <f>HYPERLINK("https://klasma.github.io/Logging_1864/fåglar/A 24299-2026 prioriterade fågelarter.docx", "A 24299-2026")</f>
        <v/>
      </c>
    </row>
    <row r="33" ht="15" customHeight="1">
      <c r="A33" t="inlineStr">
        <is>
          <t>A 20797-2022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46226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HYPERLINK("https://klasma.github.io/Logging_1864/artfynd/A 20797-2022 artfynd.xlsx", "A 20797-2022")</f>
        <v/>
      </c>
      <c r="X33">
        <f>HYPERLINK("https://klasma.github.io/Logging_1864/kartor/A 20797-2022 karta.png", "A 20797-2022")</f>
        <v/>
      </c>
      <c r="Y33">
        <f>HYPERLINK("https://klasma.github.io/Logging_1864/kartor_geotiff/A 20797-2022 georefererad karta.tif", "A 20797-2022")</f>
        <v/>
      </c>
      <c r="AA33">
        <f>HYPERLINK("https://klasma.github.io/Logging_1864/klagomål/A 20797-2022 FSC-klagomål.docx", "A 20797-2022")</f>
        <v/>
      </c>
      <c r="AB33">
        <f>HYPERLINK("https://klasma.github.io/Logging_1864/klagomålsmail/A 20797-2022 FSC-klagomål mail.docx", "A 20797-2022")</f>
        <v/>
      </c>
      <c r="AC33">
        <f>HYPERLINK("https://klasma.github.io/Logging_1864/tillsyn/A 20797-2022 tillsynsbegäran.docx", "A 20797-2022")</f>
        <v/>
      </c>
      <c r="AD33">
        <f>HYPERLINK("https://klasma.github.io/Logging_1864/tillsynsmail/A 20797-2022 tillsynsbegäran mail.docx", "A 20797-2022")</f>
        <v/>
      </c>
    </row>
    <row r="34" ht="15" customHeight="1">
      <c r="A34" t="inlineStr">
        <is>
          <t>A 39095-2022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44817</v>
      </c>
      <c r="E34" s="1" t="n">
        <v>46226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Mattlummer</t>
        </is>
      </c>
      <c r="W34">
        <f>HYPERLINK("https://klasma.github.io/Logging_1864/artfynd/A 39095-2022 artfynd.xlsx", "A 39095-2022")</f>
        <v/>
      </c>
      <c r="X34">
        <f>HYPERLINK("https://klasma.github.io/Logging_1864/kartor/A 39095-2022 karta.png", "A 39095-2022")</f>
        <v/>
      </c>
      <c r="Y34">
        <f>HYPERLINK("https://klasma.github.io/Logging_1864/kartor_geotiff/A 39095-2022 georefererad karta.tif", "A 39095-2022")</f>
        <v/>
      </c>
      <c r="AA34">
        <f>HYPERLINK("https://klasma.github.io/Logging_1864/klagomål/A 39095-2022 FSC-klagomål.docx", "A 39095-2022")</f>
        <v/>
      </c>
      <c r="AB34">
        <f>HYPERLINK("https://klasma.github.io/Logging_1864/klagomålsmail/A 39095-2022 FSC-klagomål mail.docx", "A 39095-2022")</f>
        <v/>
      </c>
      <c r="AC34">
        <f>HYPERLINK("https://klasma.github.io/Logging_1864/tillsyn/A 39095-2022 tillsynsbegäran.docx", "A 39095-2022")</f>
        <v/>
      </c>
      <c r="AD34">
        <f>HYPERLINK("https://klasma.github.io/Logging_1864/tillsynsmail/A 39095-2022 tillsynsbegäran mail.docx", "A 39095-2022")</f>
        <v/>
      </c>
    </row>
    <row r="35" ht="15" customHeight="1">
      <c r="A35" t="inlineStr">
        <is>
          <t>S 3758-2024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45555</v>
      </c>
      <c r="E35" s="1" t="n">
        <v>46226</v>
      </c>
      <c r="F35" t="inlineStr">
        <is>
          <t>ÖREBRO LÄN</t>
        </is>
      </c>
      <c r="G35" t="inlineStr">
        <is>
          <t>LJUSNARSBERG</t>
        </is>
      </c>
      <c r="H35" t="inlineStr">
        <is>
          <t>Bergvik skog väst AB</t>
        </is>
      </c>
      <c r="I35" t="n">
        <v>14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Bårdlav</t>
        </is>
      </c>
      <c r="W35">
        <f>HYPERLINK("https://klasma.github.io/Logging_1864/artfynd/S 3758-2024 artfynd.xlsx", "S 3758-2024")</f>
        <v/>
      </c>
      <c r="X35">
        <f>HYPERLINK("https://klasma.github.io/Logging_1864/kartor/S 3758-2024 karta.png", "S 3758-2024")</f>
        <v/>
      </c>
      <c r="Y35">
        <f>HYPERLINK("https://klasma.github.io/Logging_1864/kartor_geotiff/S 3758-2024 georefererad karta.tif", "S 3758-2024")</f>
        <v/>
      </c>
      <c r="AA35">
        <f>HYPERLINK("https://klasma.github.io/Logging_1864/klagomål/S 3758-2024 FSC-klagomål.docx", "S 3758-2024")</f>
        <v/>
      </c>
      <c r="AB35">
        <f>HYPERLINK("https://klasma.github.io/Logging_1864/klagomålsmail/S 3758-2024 FSC-klagomål mail.docx", "S 3758-2024")</f>
        <v/>
      </c>
      <c r="AC35">
        <f>HYPERLINK("https://klasma.github.io/Logging_1864/tillsyn/S 3758-2024 tillsynsbegäran.docx", "S 3758-2024")</f>
        <v/>
      </c>
      <c r="AD35">
        <f>HYPERLINK("https://klasma.github.io/Logging_1864/tillsynsmail/S 3758-2024 tillsynsbegäran mail.docx", "S 3758-2024")</f>
        <v/>
      </c>
    </row>
    <row r="36" ht="15" customHeight="1">
      <c r="A36" t="inlineStr">
        <is>
          <t>A 64400-2021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46226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46226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46226</v>
      </c>
      <c r="F38" t="inlineStr">
        <is>
          <t>ÖREBRO LÄN</t>
        </is>
      </c>
      <c r="G38" t="inlineStr">
        <is>
          <t>LJUSNARSBERG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72157-2021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44544</v>
      </c>
      <c r="E39" s="1" t="n">
        <v>46226</v>
      </c>
      <c r="F39" t="inlineStr">
        <is>
          <t>ÖREBRO LÄN</t>
        </is>
      </c>
      <c r="G39" t="inlineStr">
        <is>
          <t>LJUSNARSBERG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64978-2021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44513</v>
      </c>
      <c r="E40" s="1" t="n">
        <v>46226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46226</v>
      </c>
      <c r="F41" t="inlineStr">
        <is>
          <t>ÖREBRO LÄN</t>
        </is>
      </c>
      <c r="G41" t="inlineStr">
        <is>
          <t>LJUSNARSBERG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46226</v>
      </c>
      <c r="F42" t="inlineStr">
        <is>
          <t>ÖREBRO LÄN</t>
        </is>
      </c>
      <c r="G42" t="inlineStr">
        <is>
          <t>LJUSNARSBERG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44293-2021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46226</v>
      </c>
      <c r="F43" t="inlineStr">
        <is>
          <t>ÖREBRO LÄN</t>
        </is>
      </c>
      <c r="G43" t="inlineStr">
        <is>
          <t>LJUSNARSBERG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39187-2021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44412</v>
      </c>
      <c r="E44" s="1" t="n">
        <v>46226</v>
      </c>
      <c r="F44" t="inlineStr">
        <is>
          <t>ÖREBRO LÄN</t>
        </is>
      </c>
      <c r="G44" t="inlineStr">
        <is>
          <t>LJUSNARSBERG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46226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25773-2022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46226</v>
      </c>
      <c r="F46" t="inlineStr">
        <is>
          <t>ÖREBRO LÄN</t>
        </is>
      </c>
      <c r="G46" t="inlineStr">
        <is>
          <t>LJUSNARSBERG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46226</v>
      </c>
      <c r="F47" t="inlineStr">
        <is>
          <t>ÖREBRO LÄN</t>
        </is>
      </c>
      <c r="G47" t="inlineStr">
        <is>
          <t>LJUSNARSBERG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44690</v>
      </c>
      <c r="E48" s="1" t="n">
        <v>46226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46226</v>
      </c>
      <c r="F49" t="inlineStr">
        <is>
          <t>ÖREBRO LÄN</t>
        </is>
      </c>
      <c r="G49" t="inlineStr">
        <is>
          <t>LJUSNARSBERG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44282-2021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46226</v>
      </c>
      <c r="F50" t="inlineStr">
        <is>
          <t>ÖREBRO LÄN</t>
        </is>
      </c>
      <c r="G50" t="inlineStr">
        <is>
          <t>LJUSNARSBERG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31998-2022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44778</v>
      </c>
      <c r="E51" s="1" t="n">
        <v>46226</v>
      </c>
      <c r="F51" t="inlineStr">
        <is>
          <t>ÖREBRO LÄN</t>
        </is>
      </c>
      <c r="G51" t="inlineStr">
        <is>
          <t>LJUSNARSBERG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33858-2022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46226</v>
      </c>
      <c r="F52" t="inlineStr">
        <is>
          <t>ÖREBRO LÄN</t>
        </is>
      </c>
      <c r="G52" t="inlineStr">
        <is>
          <t>LJUSNARSBERG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46226</v>
      </c>
      <c r="F53" t="inlineStr">
        <is>
          <t>ÖREBRO LÄN</t>
        </is>
      </c>
      <c r="G53" t="inlineStr">
        <is>
          <t>LJUSNARSBERG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45649</v>
      </c>
      <c r="E54" s="1" t="n">
        <v>46226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25574-2023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45089</v>
      </c>
      <c r="E55" s="1" t="n">
        <v>46226</v>
      </c>
      <c r="F55" t="inlineStr">
        <is>
          <t>ÖREBRO LÄN</t>
        </is>
      </c>
      <c r="G55" t="inlineStr">
        <is>
          <t>LJUSNARSBERG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46226</v>
      </c>
      <c r="F56" t="inlineStr">
        <is>
          <t>ÖREBRO LÄN</t>
        </is>
      </c>
      <c r="G56" t="inlineStr">
        <is>
          <t>LJUSNARSBERG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46226</v>
      </c>
      <c r="F57" t="inlineStr">
        <is>
          <t>ÖREBRO LÄN</t>
        </is>
      </c>
      <c r="G57" t="inlineStr">
        <is>
          <t>LJUSNARSBERG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61580-2023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46226</v>
      </c>
      <c r="F58" t="inlineStr">
        <is>
          <t>ÖREBRO LÄN</t>
        </is>
      </c>
      <c r="G58" t="inlineStr">
        <is>
          <t>LJUSNARSBERG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62810-2021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46226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46805-2024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45583</v>
      </c>
      <c r="E60" s="1" t="n">
        <v>46226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46226</v>
      </c>
      <c r="F61" t="inlineStr">
        <is>
          <t>ÖREBRO LÄN</t>
        </is>
      </c>
      <c r="G61" t="inlineStr">
        <is>
          <t>LJUSNARSBERG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46226</v>
      </c>
      <c r="F62" t="inlineStr">
        <is>
          <t>ÖREBRO LÄN</t>
        </is>
      </c>
      <c r="G62" t="inlineStr">
        <is>
          <t>LJUSNARSBERG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62843-2021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46226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45399</v>
      </c>
      <c r="E64" s="1" t="n">
        <v>46226</v>
      </c>
      <c r="F64" t="inlineStr">
        <is>
          <t>ÖREBRO LÄN</t>
        </is>
      </c>
      <c r="G64" t="inlineStr">
        <is>
          <t>LJUSNARSBERG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46226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12489-2023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44999</v>
      </c>
      <c r="E66" s="1" t="n">
        <v>46226</v>
      </c>
      <c r="F66" t="inlineStr">
        <is>
          <t>ÖREBRO LÄN</t>
        </is>
      </c>
      <c r="G66" t="inlineStr">
        <is>
          <t>LJUSNARSBERG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45419</v>
      </c>
      <c r="E67" s="1" t="n">
        <v>46226</v>
      </c>
      <c r="F67" t="inlineStr">
        <is>
          <t>ÖREBRO LÄN</t>
        </is>
      </c>
      <c r="G67" t="inlineStr">
        <is>
          <t>LJUSNARSBERG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67746-2021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46226</v>
      </c>
      <c r="F68" t="inlineStr">
        <is>
          <t>ÖREBRO LÄN</t>
        </is>
      </c>
      <c r="G68" t="inlineStr">
        <is>
          <t>LJUSNARSBERG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45124</v>
      </c>
      <c r="E69" s="1" t="n">
        <v>46226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59627-2024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45638</v>
      </c>
      <c r="E70" s="1" t="n">
        <v>46226</v>
      </c>
      <c r="F70" t="inlineStr">
        <is>
          <t>ÖREBRO LÄN</t>
        </is>
      </c>
      <c r="G70" t="inlineStr">
        <is>
          <t>LJUSNARSBERG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45574</v>
      </c>
      <c r="E71" s="1" t="n">
        <v>46226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45463</v>
      </c>
      <c r="E72" s="1" t="n">
        <v>46226</v>
      </c>
      <c r="F72" t="inlineStr">
        <is>
          <t>ÖREBRO LÄN</t>
        </is>
      </c>
      <c r="G72" t="inlineStr">
        <is>
          <t>LJUSNARSBERG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59630-2024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46226</v>
      </c>
      <c r="F73" t="inlineStr">
        <is>
          <t>ÖREBRO LÄN</t>
        </is>
      </c>
      <c r="G73" t="inlineStr">
        <is>
          <t>LJUSNARSBERG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46226</v>
      </c>
      <c r="F74" t="inlineStr">
        <is>
          <t>ÖREBRO LÄN</t>
        </is>
      </c>
      <c r="G74" t="inlineStr">
        <is>
          <t>LJUSNARSBERG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37148-2023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45155</v>
      </c>
      <c r="E75" s="1" t="n">
        <v>46226</v>
      </c>
      <c r="F75" t="inlineStr">
        <is>
          <t>ÖREBRO LÄN</t>
        </is>
      </c>
      <c r="G75" t="inlineStr">
        <is>
          <t>LJUSNARSBERG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22887-2024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45448</v>
      </c>
      <c r="E76" s="1" t="n">
        <v>46226</v>
      </c>
      <c r="F76" t="inlineStr">
        <is>
          <t>ÖREBRO LÄN</t>
        </is>
      </c>
      <c r="G76" t="inlineStr">
        <is>
          <t>LJUSNARSBERG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45575</v>
      </c>
      <c r="E77" s="1" t="n">
        <v>46226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8.199999999999999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52366-2024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46226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46226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46226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40933-2025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46226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46226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8.699999999999999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46226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46226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45825</v>
      </c>
      <c r="E85" s="1" t="n">
        <v>46226</v>
      </c>
      <c r="F85" t="inlineStr">
        <is>
          <t>ÖREBRO LÄN</t>
        </is>
      </c>
      <c r="G85" t="inlineStr">
        <is>
          <t>LJUSNARSBERG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46226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29721-2023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46226</v>
      </c>
      <c r="F87" t="inlineStr">
        <is>
          <t>ÖREBRO LÄN</t>
        </is>
      </c>
      <c r="G87" t="inlineStr">
        <is>
          <t>LJUSNARSBERG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29572-2025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45825</v>
      </c>
      <c r="E88" s="1" t="n">
        <v>46226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46226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41420-2025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46226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46226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45827</v>
      </c>
      <c r="E92" s="1" t="n">
        <v>46226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45826</v>
      </c>
      <c r="E93" s="1" t="n">
        <v>46226</v>
      </c>
      <c r="F93" t="inlineStr">
        <is>
          <t>ÖREBRO LÄN</t>
        </is>
      </c>
      <c r="G93" t="inlineStr">
        <is>
          <t>LJUSNARSBERG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45909</v>
      </c>
      <c r="E94" s="1" t="n">
        <v>46226</v>
      </c>
      <c r="F94" t="inlineStr">
        <is>
          <t>ÖREBRO LÄN</t>
        </is>
      </c>
      <c r="G94" t="inlineStr">
        <is>
          <t>LJUSNARSBERG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30430-2025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45827</v>
      </c>
      <c r="E95" s="1" t="n">
        <v>46226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35151-2023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45145</v>
      </c>
      <c r="E96" s="1" t="n">
        <v>46226</v>
      </c>
      <c r="F96" t="inlineStr">
        <is>
          <t>ÖREBRO LÄN</t>
        </is>
      </c>
      <c r="G96" t="inlineStr">
        <is>
          <t>LJUSNARSBERG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23346-2022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44720</v>
      </c>
      <c r="E97" s="1" t="n">
        <v>46226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45086</v>
      </c>
      <c r="E98" s="1" t="n">
        <v>46226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46226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44479-2025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45916</v>
      </c>
      <c r="E100" s="1" t="n">
        <v>46226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48353-2022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46226</v>
      </c>
      <c r="F101" t="inlineStr">
        <is>
          <t>ÖREBRO LÄN</t>
        </is>
      </c>
      <c r="G101" t="inlineStr">
        <is>
          <t>LJUSNARSBERG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46492-2025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45925</v>
      </c>
      <c r="E102" s="1" t="n">
        <v>46226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57129-2021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46226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17.8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30935-2025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45832</v>
      </c>
      <c r="E104" s="1" t="n">
        <v>46226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45155</v>
      </c>
      <c r="E105" s="1" t="n">
        <v>46226</v>
      </c>
      <c r="F105" t="inlineStr">
        <is>
          <t>ÖREBRO LÄN</t>
        </is>
      </c>
      <c r="G105" t="inlineStr">
        <is>
          <t>LJUSNARSBERG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45901</v>
      </c>
      <c r="E106" s="1" t="n">
        <v>46226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46226</v>
      </c>
      <c r="F107" t="inlineStr">
        <is>
          <t>ÖREBRO LÄN</t>
        </is>
      </c>
      <c r="G107" t="inlineStr">
        <is>
          <t>LJUSNARSBERG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45933</v>
      </c>
      <c r="E108" s="1" t="n">
        <v>46226</v>
      </c>
      <c r="F108" t="inlineStr">
        <is>
          <t>ÖREBRO LÄN</t>
        </is>
      </c>
      <c r="G108" t="inlineStr">
        <is>
          <t>LJUSNARSBERG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45035</v>
      </c>
      <c r="E109" s="1" t="n">
        <v>46226</v>
      </c>
      <c r="F109" t="inlineStr">
        <is>
          <t>ÖREBRO LÄN</t>
        </is>
      </c>
      <c r="G109" t="inlineStr">
        <is>
          <t>LJUSNARSBERG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46226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45934</v>
      </c>
      <c r="E111" s="1" t="n">
        <v>46226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46226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46226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48564-2025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45934</v>
      </c>
      <c r="E114" s="1" t="n">
        <v>46226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46226</v>
      </c>
      <c r="F115" t="inlineStr">
        <is>
          <t>ÖREBRO LÄN</t>
        </is>
      </c>
      <c r="G115" t="inlineStr">
        <is>
          <t>LJUSNARSBERG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46226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45934</v>
      </c>
      <c r="E117" s="1" t="n">
        <v>46226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50865-2025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45946</v>
      </c>
      <c r="E118" s="1" t="n">
        <v>46226</v>
      </c>
      <c r="F118" t="inlineStr">
        <is>
          <t>ÖREBRO LÄN</t>
        </is>
      </c>
      <c r="G118" t="inlineStr">
        <is>
          <t>LJUSNARSBERG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46226</v>
      </c>
      <c r="F119" t="inlineStr">
        <is>
          <t>ÖREBRO LÄN</t>
        </is>
      </c>
      <c r="G119" t="inlineStr">
        <is>
          <t>LJUSNARSBERG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46133</v>
      </c>
      <c r="E120" s="1" t="n">
        <v>46226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14.5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33622-2025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46226</v>
      </c>
      <c r="F121" t="inlineStr">
        <is>
          <t>ÖREBRO LÄN</t>
        </is>
      </c>
      <c r="G121" t="inlineStr">
        <is>
          <t>LJUSNARSBERG</t>
        </is>
      </c>
      <c r="H121" t="inlineStr">
        <is>
          <t>Kyrkan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45085</v>
      </c>
      <c r="E122" s="1" t="n">
        <v>46226</v>
      </c>
      <c r="F122" t="inlineStr">
        <is>
          <t>ÖREBRO LÄN</t>
        </is>
      </c>
      <c r="G122" t="inlineStr">
        <is>
          <t>LJUSNARSBERG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43638-2025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46226</v>
      </c>
      <c r="F123" t="inlineStr">
        <is>
          <t>ÖREBRO LÄN</t>
        </is>
      </c>
      <c r="G123" t="inlineStr">
        <is>
          <t>LJUSNARSBERG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46226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36108-2024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45533</v>
      </c>
      <c r="E125" s="1" t="n">
        <v>46226</v>
      </c>
      <c r="F125" t="inlineStr">
        <is>
          <t>ÖREBRO LÄN</t>
        </is>
      </c>
      <c r="G125" t="inlineStr">
        <is>
          <t>LJUSNARSBERG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46226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59497-2024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46226</v>
      </c>
      <c r="F127" t="inlineStr">
        <is>
          <t>ÖREBRO LÄN</t>
        </is>
      </c>
      <c r="G127" t="inlineStr">
        <is>
          <t>LJUSNARSBERG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45980</v>
      </c>
      <c r="E128" s="1" t="n">
        <v>46226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46085-2024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46226</v>
      </c>
      <c r="F129" t="inlineStr">
        <is>
          <t>ÖREBRO LÄN</t>
        </is>
      </c>
      <c r="G129" t="inlineStr">
        <is>
          <t>LJUSNARSBERG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19936-2026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46136</v>
      </c>
      <c r="E130" s="1" t="n">
        <v>46226</v>
      </c>
      <c r="F130" t="inlineStr">
        <is>
          <t>ÖREBRO LÄN</t>
        </is>
      </c>
      <c r="G130" t="inlineStr">
        <is>
          <t>LJUSNARSBERG</t>
        </is>
      </c>
      <c r="H130" t="inlineStr">
        <is>
          <t>Sveaskog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45124</v>
      </c>
      <c r="E131" s="1" t="n">
        <v>46226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45980</v>
      </c>
      <c r="E132" s="1" t="n">
        <v>46226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46226</v>
      </c>
      <c r="F133" t="inlineStr">
        <is>
          <t>ÖREBRO LÄN</t>
        </is>
      </c>
      <c r="G133" t="inlineStr">
        <is>
          <t>LJUSNARSBERG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45659</v>
      </c>
      <c r="E134" s="1" t="n">
        <v>46226</v>
      </c>
      <c r="F134" t="inlineStr">
        <is>
          <t>ÖREBRO LÄN</t>
        </is>
      </c>
      <c r="G134" t="inlineStr">
        <is>
          <t>LJUSNARSBERG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46226</v>
      </c>
      <c r="F135" t="inlineStr">
        <is>
          <t>ÖREBRO LÄN</t>
        </is>
      </c>
      <c r="G135" t="inlineStr">
        <is>
          <t>LJUSNARSBERG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61579-2025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46226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46226</v>
      </c>
      <c r="F137" t="inlineStr">
        <is>
          <t>ÖREBRO LÄN</t>
        </is>
      </c>
      <c r="G137" t="inlineStr">
        <is>
          <t>LJUSNARSBERG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59495-2024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45638</v>
      </c>
      <c r="E138" s="1" t="n">
        <v>46226</v>
      </c>
      <c r="F138" t="inlineStr">
        <is>
          <t>ÖREBRO LÄN</t>
        </is>
      </c>
      <c r="G138" t="inlineStr">
        <is>
          <t>LJUSNARSBERG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26847-2026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46185</v>
      </c>
      <c r="E139" s="1" t="n">
        <v>46226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14.5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21202-2026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46146</v>
      </c>
      <c r="E140" s="1" t="n">
        <v>46226</v>
      </c>
      <c r="F140" t="inlineStr">
        <is>
          <t>ÖREBRO LÄN</t>
        </is>
      </c>
      <c r="G140" t="inlineStr">
        <is>
          <t>LJUSNARSBERG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44847</v>
      </c>
      <c r="E141" s="1" t="n">
        <v>46226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46013</v>
      </c>
      <c r="E142" s="1" t="n">
        <v>46226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21186-2026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46146</v>
      </c>
      <c r="E143" s="1" t="n">
        <v>46226</v>
      </c>
      <c r="F143" t="inlineStr">
        <is>
          <t>ÖREBRO LÄN</t>
        </is>
      </c>
      <c r="G143" t="inlineStr">
        <is>
          <t>LJUSNARSBERG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44880</v>
      </c>
      <c r="E144" s="1" t="n">
        <v>46226</v>
      </c>
      <c r="F144" t="inlineStr">
        <is>
          <t>ÖREBRO LÄN</t>
        </is>
      </c>
      <c r="G144" t="inlineStr">
        <is>
          <t>LJUSNARSBERG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46226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44565</v>
      </c>
      <c r="E146" s="1" t="n">
        <v>46226</v>
      </c>
      <c r="F146" t="inlineStr">
        <is>
          <t>ÖREBRO LÄN</t>
        </is>
      </c>
      <c r="G146" t="inlineStr">
        <is>
          <t>LJUSNARSBERG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46226</v>
      </c>
      <c r="F147" t="inlineStr">
        <is>
          <t>ÖREBRO LÄN</t>
        </is>
      </c>
      <c r="G147" t="inlineStr">
        <is>
          <t>LJUSNARSBERG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46226</v>
      </c>
      <c r="F148" t="inlineStr">
        <is>
          <t>ÖREBRO LÄN</t>
        </is>
      </c>
      <c r="G148" t="inlineStr">
        <is>
          <t>LJUSNARSBERG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22366-2026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46154</v>
      </c>
      <c r="E149" s="1" t="n">
        <v>46226</v>
      </c>
      <c r="F149" t="inlineStr">
        <is>
          <t>ÖREBRO LÄN</t>
        </is>
      </c>
      <c r="G149" t="inlineStr">
        <is>
          <t>LJUSNARSBERG</t>
        </is>
      </c>
      <c r="I149" t="n">
        <v>14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46226</v>
      </c>
      <c r="F150" t="inlineStr">
        <is>
          <t>ÖREBRO LÄN</t>
        </is>
      </c>
      <c r="G150" t="inlineStr">
        <is>
          <t>LJUSNARSBERG</t>
        </is>
      </c>
      <c r="H150" t="inlineStr">
        <is>
          <t>Kommuner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53595-2024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45614</v>
      </c>
      <c r="E151" s="1" t="n">
        <v>46226</v>
      </c>
      <c r="F151" t="inlineStr">
        <is>
          <t>ÖREBRO LÄN</t>
        </is>
      </c>
      <c r="G151" t="inlineStr">
        <is>
          <t>LJUSNARSBERG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45106</v>
      </c>
      <c r="E152" s="1" t="n">
        <v>46226</v>
      </c>
      <c r="F152" t="inlineStr">
        <is>
          <t>ÖREBRO LÄN</t>
        </is>
      </c>
      <c r="G152" t="inlineStr">
        <is>
          <t>LJUSNARSBERG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46049</v>
      </c>
      <c r="E153" s="1" t="n">
        <v>46226</v>
      </c>
      <c r="F153" t="inlineStr">
        <is>
          <t>ÖREBRO LÄN</t>
        </is>
      </c>
      <c r="G153" t="inlineStr">
        <is>
          <t>LJUSNARSBERG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46226</v>
      </c>
      <c r="F154" t="inlineStr">
        <is>
          <t>ÖREBRO LÄN</t>
        </is>
      </c>
      <c r="G154" t="inlineStr">
        <is>
          <t>LJUSNARSBERG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44564</v>
      </c>
      <c r="E155" s="1" t="n">
        <v>46226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44790</v>
      </c>
      <c r="E156" s="1" t="n">
        <v>46226</v>
      </c>
      <c r="F156" t="inlineStr">
        <is>
          <t>ÖREBRO LÄN</t>
        </is>
      </c>
      <c r="G156" t="inlineStr">
        <is>
          <t>LJUSNARSBERG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46163</v>
      </c>
      <c r="E157" s="1" t="n">
        <v>46226</v>
      </c>
      <c r="F157" t="inlineStr">
        <is>
          <t>ÖREBRO LÄN</t>
        </is>
      </c>
      <c r="G157" t="inlineStr">
        <is>
          <t>LJUSNARSBERG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46226</v>
      </c>
      <c r="F158" t="inlineStr">
        <is>
          <t>ÖREBRO LÄN</t>
        </is>
      </c>
      <c r="G158" t="inlineStr">
        <is>
          <t>LJUSNARSBERG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46167</v>
      </c>
      <c r="E159" s="1" t="n">
        <v>46226</v>
      </c>
      <c r="F159" t="inlineStr">
        <is>
          <t>ÖREBRO LÄN</t>
        </is>
      </c>
      <c r="G159" t="inlineStr">
        <is>
          <t>LJUSNARSBERG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46167</v>
      </c>
      <c r="E160" s="1" t="n">
        <v>46226</v>
      </c>
      <c r="F160" t="inlineStr">
        <is>
          <t>ÖREBRO LÄN</t>
        </is>
      </c>
      <c r="G160" t="inlineStr">
        <is>
          <t>LJUSNARSBERG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46167</v>
      </c>
      <c r="E161" s="1" t="n">
        <v>46226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46167</v>
      </c>
      <c r="E162" s="1" t="n">
        <v>46226</v>
      </c>
      <c r="F162" t="inlineStr">
        <is>
          <t>ÖREBRO LÄN</t>
        </is>
      </c>
      <c r="G162" t="inlineStr">
        <is>
          <t>LJUSNARSBERG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44760-2024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45574</v>
      </c>
      <c r="E163" s="1" t="n">
        <v>46226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11.4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46226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12482-2023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44999</v>
      </c>
      <c r="E165" s="1" t="n">
        <v>46226</v>
      </c>
      <c r="F165" t="inlineStr">
        <is>
          <t>ÖREBRO LÄN</t>
        </is>
      </c>
      <c r="G165" t="inlineStr">
        <is>
          <t>LJUSNARSBERG</t>
        </is>
      </c>
      <c r="I165" t="n">
        <v>6.1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13803-2024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45390</v>
      </c>
      <c r="E166" s="1" t="n">
        <v>46226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17.8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14500-2024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45394</v>
      </c>
      <c r="E167" s="1" t="n">
        <v>46226</v>
      </c>
      <c r="F167" t="inlineStr">
        <is>
          <t>ÖREBRO LÄN</t>
        </is>
      </c>
      <c r="G167" t="inlineStr">
        <is>
          <t>LJUSNARSBERG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45239</v>
      </c>
      <c r="E168" s="1" t="n">
        <v>46226</v>
      </c>
      <c r="F168" t="inlineStr">
        <is>
          <t>ÖREBRO LÄN</t>
        </is>
      </c>
      <c r="G168" t="inlineStr">
        <is>
          <t>LJUSNARSBERG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46183</v>
      </c>
      <c r="E169" s="1" t="n">
        <v>46226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44690</v>
      </c>
      <c r="E170" s="1" t="n">
        <v>46226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46226</v>
      </c>
      <c r="F171" t="inlineStr">
        <is>
          <t>ÖREBRO LÄN</t>
        </is>
      </c>
      <c r="G171" t="inlineStr">
        <is>
          <t>LJUSNARSBERG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46226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45578</v>
      </c>
      <c r="E173" s="1" t="n">
        <v>46226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44874</v>
      </c>
      <c r="E174" s="1" t="n">
        <v>46226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45124</v>
      </c>
      <c r="E175" s="1" t="n">
        <v>46226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44690</v>
      </c>
      <c r="E176" s="1" t="n">
        <v>46226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44438</v>
      </c>
      <c r="E177" s="1" t="n">
        <v>46226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30414-2023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45111</v>
      </c>
      <c r="E178" s="1" t="n">
        <v>46226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46226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45347</v>
      </c>
      <c r="E180" s="1" t="n">
        <v>46226</v>
      </c>
      <c r="F180" t="inlineStr">
        <is>
          <t>ÖREBRO LÄN</t>
        </is>
      </c>
      <c r="G180" t="inlineStr">
        <is>
          <t>LJUSNARSBERG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45030</v>
      </c>
      <c r="E181" s="1" t="n">
        <v>46226</v>
      </c>
      <c r="F181" t="inlineStr">
        <is>
          <t>ÖREBRO LÄN</t>
        </is>
      </c>
      <c r="G181" t="inlineStr">
        <is>
          <t>LJUSNARSBERG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46226</v>
      </c>
      <c r="F182" t="inlineStr">
        <is>
          <t>ÖREBRO LÄN</t>
        </is>
      </c>
      <c r="G182" t="inlineStr">
        <is>
          <t>LJUSNARSBERG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23372-2022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44720</v>
      </c>
      <c r="E183" s="1" t="n">
        <v>46226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44939</v>
      </c>
      <c r="E184" s="1" t="n">
        <v>46226</v>
      </c>
      <c r="F184" t="inlineStr">
        <is>
          <t>ÖREBRO LÄN</t>
        </is>
      </c>
      <c r="G184" t="inlineStr">
        <is>
          <t>LJUSNARSBERG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53395-2021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44468</v>
      </c>
      <c r="E185" s="1" t="n">
        <v>46226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7903-2022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44607</v>
      </c>
      <c r="E186" s="1" t="n">
        <v>46226</v>
      </c>
      <c r="F186" t="inlineStr">
        <is>
          <t>ÖREBRO LÄN</t>
        </is>
      </c>
      <c r="G186" t="inlineStr">
        <is>
          <t>LJUSNARSBERG</t>
        </is>
      </c>
      <c r="H186" t="inlineStr">
        <is>
          <t>Kyrkan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42761-2023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45177</v>
      </c>
      <c r="E187" s="1" t="n">
        <v>46226</v>
      </c>
      <c r="F187" t="inlineStr">
        <is>
          <t>ÖREBRO LÄN</t>
        </is>
      </c>
      <c r="G187" t="inlineStr">
        <is>
          <t>LJUSNARSBERG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46226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46226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46226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44694</v>
      </c>
      <c r="E191" s="1" t="n">
        <v>46226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46226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45103</v>
      </c>
      <c r="E193" s="1" t="n">
        <v>46226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45478</v>
      </c>
      <c r="E194" s="1" t="n">
        <v>46226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45593</v>
      </c>
      <c r="E195" s="1" t="n">
        <v>46226</v>
      </c>
      <c r="F195" t="inlineStr">
        <is>
          <t>ÖREBRO LÄN</t>
        </is>
      </c>
      <c r="G195" t="inlineStr">
        <is>
          <t>LJUSNARSBERG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45698</v>
      </c>
      <c r="E196" s="1" t="n">
        <v>46226</v>
      </c>
      <c r="F196" t="inlineStr">
        <is>
          <t>ÖREBRO LÄN</t>
        </is>
      </c>
      <c r="G196" t="inlineStr">
        <is>
          <t>LJUSNARSBERG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46226</v>
      </c>
      <c r="F197" t="inlineStr">
        <is>
          <t>ÖREBRO LÄN</t>
        </is>
      </c>
      <c r="G197" t="inlineStr">
        <is>
          <t>LJUSNARSBERG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46226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46226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44956</v>
      </c>
      <c r="E200" s="1" t="n">
        <v>46226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45106</v>
      </c>
      <c r="E201" s="1" t="n">
        <v>46226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45797</v>
      </c>
      <c r="E202" s="1" t="n">
        <v>46226</v>
      </c>
      <c r="F202" t="inlineStr">
        <is>
          <t>ÖREBRO LÄN</t>
        </is>
      </c>
      <c r="G202" t="inlineStr">
        <is>
          <t>LJUSNARSBERG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45807</v>
      </c>
      <c r="E203" s="1" t="n">
        <v>46226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20673-2025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45776</v>
      </c>
      <c r="E204" s="1" t="n">
        <v>46226</v>
      </c>
      <c r="F204" t="inlineStr">
        <is>
          <t>ÖREBRO LÄN</t>
        </is>
      </c>
      <c r="G204" t="inlineStr">
        <is>
          <t>LJUSNARSBERG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880-2024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45376</v>
      </c>
      <c r="E205" s="1" t="n">
        <v>46226</v>
      </c>
      <c r="F205" t="inlineStr">
        <is>
          <t>ÖREBRO LÄN</t>
        </is>
      </c>
      <c r="G205" t="inlineStr">
        <is>
          <t>LJUSNARSBERG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3541-2022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44734</v>
      </c>
      <c r="E206" s="1" t="n">
        <v>46226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10473-2021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44559</v>
      </c>
      <c r="E207" s="1" t="n">
        <v>46226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3528-2023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45205</v>
      </c>
      <c r="E208" s="1" t="n">
        <v>46226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39.4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7278-2021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44467</v>
      </c>
      <c r="E209" s="1" t="n">
        <v>46226</v>
      </c>
      <c r="F209" t="inlineStr">
        <is>
          <t>ÖREBRO LÄN</t>
        </is>
      </c>
      <c r="G209" t="inlineStr">
        <is>
          <t>LJUSNARSBERG</t>
        </is>
      </c>
      <c r="H209" t="inlineStr">
        <is>
          <t>Kommuner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410-2022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44585</v>
      </c>
      <c r="E210" s="1" t="n">
        <v>46226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36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4521-2023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45275</v>
      </c>
      <c r="E211" s="1" t="n">
        <v>46226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1099-2022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44615</v>
      </c>
      <c r="E212" s="1" t="n">
        <v>46226</v>
      </c>
      <c r="F212" t="inlineStr">
        <is>
          <t>ÖREBRO LÄN</t>
        </is>
      </c>
      <c r="G212" t="inlineStr">
        <is>
          <t>LJUSNARSBERG</t>
        </is>
      </c>
      <c r="H212" t="inlineStr">
        <is>
          <t>Sveaskog</t>
        </is>
      </c>
      <c r="I212" t="n">
        <v>147.4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7277-2021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44467</v>
      </c>
      <c r="E213" s="1" t="n">
        <v>46226</v>
      </c>
      <c r="F213" t="inlineStr">
        <is>
          <t>ÖREBRO LÄN</t>
        </is>
      </c>
      <c r="G213" t="inlineStr">
        <is>
          <t>LJUSNARSBERG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2836-2023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45167</v>
      </c>
      <c r="E214" s="1" t="n">
        <v>46226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707-2025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45720</v>
      </c>
      <c r="E215" s="1" t="n">
        <v>46226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1972-2025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45832</v>
      </c>
      <c r="E216" s="1" t="n">
        <v>46226</v>
      </c>
      <c r="F216" t="inlineStr">
        <is>
          <t>ÖREBRO LÄN</t>
        </is>
      </c>
      <c r="G216" t="inlineStr">
        <is>
          <t>LJUSNARSBERG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3578-2025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46010</v>
      </c>
      <c r="E217" s="1" t="n">
        <v>46226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603-2026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46085</v>
      </c>
      <c r="E218" s="1" t="n">
        <v>46226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125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1743-2026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46185</v>
      </c>
      <c r="E219" s="1" t="n">
        <v>46226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16.8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2026-07-23T01:46:16Z</dcterms:created>
  <dcterms:modified xmlns:dcterms="http://purl.org/dc/terms/" xmlns:xsi="http://www.w3.org/2001/XMLSchema-instance" xsi:type="dcterms:W3CDTF">2026-07-23T01:46:16Z</dcterms:modified>
</cp:coreProperties>
</file>