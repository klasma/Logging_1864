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46321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46321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46321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46321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46321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18853-2026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46127</v>
      </c>
      <c r="E7" s="1" t="n">
        <v>46321</v>
      </c>
      <c r="F7" t="inlineStr">
        <is>
          <t>ÖREBRO LÄN</t>
        </is>
      </c>
      <c r="G7" t="inlineStr">
        <is>
          <t>LJUSNARSBERG</t>
        </is>
      </c>
      <c r="I7" t="n">
        <v>9.5</v>
      </c>
      <c r="J7" t="n">
        <v>4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Entita
Bronshjon
Spillkråka
Grönsiska
Kungsfågel</t>
        </is>
      </c>
      <c r="W7">
        <f>HYPERLINK("https://klasma.github.io/Logging_1864/artfynd/A 18853-2026 artfynd.xlsx", "A 18853-2026")</f>
        <v/>
      </c>
      <c r="X7">
        <f>HYPERLINK("https://klasma.github.io/Logging_1864/kartor/A 18853-2026 karta.png", "A 18853-2026")</f>
        <v/>
      </c>
      <c r="Y7">
        <f>HYPERLINK("https://klasma.github.io/Logging_1864/kartor_geotiff/A 18853-2026 georefererad karta.tif", "A 18853-2026")</f>
        <v/>
      </c>
      <c r="AA7">
        <f>HYPERLINK("https://klasma.github.io/Logging_1864/klagomål/A 18853-2026 FSC-klagomål.docx", "A 18853-2026")</f>
        <v/>
      </c>
      <c r="AB7">
        <f>HYPERLINK("https://klasma.github.io/Logging_1864/klagomålsmail/A 18853-2026 FSC-klagomål mail.docx", "A 18853-2026")</f>
        <v/>
      </c>
      <c r="AC7">
        <f>HYPERLINK("https://klasma.github.io/Logging_1864/tillsyn/A 18853-2026 tillsynsbegäran.docx", "A 18853-2026")</f>
        <v/>
      </c>
      <c r="AD7">
        <f>HYPERLINK("https://klasma.github.io/Logging_1864/tillsynsmail/A 18853-2026 tillsynsbegäran mail.docx", "A 18853-2026")</f>
        <v/>
      </c>
      <c r="AE7">
        <f>HYPERLINK("https://klasma.github.io/Logging_1864/fåglar/A 18853-2026 prioriterade fågelarter.docx", "A 18853-2026")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46321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46321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Skuggmalmätare
Brunbandad malmätare
Brunflammig fältmätare
Glimmalmätare
Gullpudra</t>
        </is>
      </c>
      <c r="W9">
        <f>HYPERLINK("https://klasma.github.io/Logging_1864/artfynd/A 41623-2024 artfynd.xlsx", "A 41623-2024")</f>
        <v/>
      </c>
      <c r="X9">
        <f>HYPERLINK("https://klasma.github.io/Logging_1864/kartor/A 41623-2024 karta.png", "A 41623-2024")</f>
        <v/>
      </c>
      <c r="Y9">
        <f>HYPERLINK("https://klasma.github.io/Logging_1864/kartor_geotiff/A 41623-2024 georefererad karta.tif", "A 41623-2024")</f>
        <v/>
      </c>
      <c r="AA9">
        <f>HYPERLINK("https://klasma.github.io/Logging_1864/klagomål/A 41623-2024 FSC-klagomål.docx", "A 41623-2024")</f>
        <v/>
      </c>
      <c r="AB9">
        <f>HYPERLINK("https://klasma.github.io/Logging_1864/klagomålsmail/A 41623-2024 FSC-klagomål mail.docx", "A 41623-2024")</f>
        <v/>
      </c>
      <c r="AC9">
        <f>HYPERLINK("https://klasma.github.io/Logging_1864/tillsyn/A 41623-2024 tillsynsbegäran.docx", "A 41623-2024")</f>
        <v/>
      </c>
      <c r="AD9">
        <f>HYPERLINK("https://klasma.github.io/Logging_1864/tillsynsmail/A 41623-2024 tillsynsbegäran mail.docx", "A 41623-2024")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46321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46321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46321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46321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46321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46321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45536-2024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45578</v>
      </c>
      <c r="E16" s="1" t="n">
        <v>46321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Tvåblad
Fläcknycklar</t>
        </is>
      </c>
      <c r="W16">
        <f>HYPERLINK("https://klasma.github.io/Logging_1864/artfynd/A 45536-2024 artfynd.xlsx", "A 45536-2024")</f>
        <v/>
      </c>
      <c r="X16">
        <f>HYPERLINK("https://klasma.github.io/Logging_1864/kartor/A 45536-2024 karta.png", "A 45536-2024")</f>
        <v/>
      </c>
      <c r="Y16">
        <f>HYPERLINK("https://klasma.github.io/Logging_1864/kartor_geotiff/A 45536-2024 georefererad karta.tif", "A 45536-2024")</f>
        <v/>
      </c>
      <c r="AA16">
        <f>HYPERLINK("https://klasma.github.io/Logging_1864/klagomål/A 45536-2024 FSC-klagomål.docx", "A 45536-2024")</f>
        <v/>
      </c>
      <c r="AB16">
        <f>HYPERLINK("https://klasma.github.io/Logging_1864/klagomålsmail/A 45536-2024 FSC-klagomål mail.docx", "A 45536-2024")</f>
        <v/>
      </c>
      <c r="AC16">
        <f>HYPERLINK("https://klasma.github.io/Logging_1864/tillsyn/A 45536-2024 tillsynsbegäran.docx", "A 45536-2024")</f>
        <v/>
      </c>
      <c r="AD16">
        <f>HYPERLINK("https://klasma.github.io/Logging_1864/tillsynsmail/A 45536-2024 tillsynsbegäran mail.docx", "A 45536-2024")</f>
        <v/>
      </c>
    </row>
    <row r="17" ht="15" customHeight="1">
      <c r="A17" t="inlineStr">
        <is>
          <t>A 33193-2024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45518</v>
      </c>
      <c r="E17" s="1" t="n">
        <v>46321</v>
      </c>
      <c r="F17" t="inlineStr">
        <is>
          <t>ÖREBRO LÄN</t>
        </is>
      </c>
      <c r="G17" t="inlineStr">
        <is>
          <t>LJUSNARSBERG</t>
        </is>
      </c>
      <c r="I17" t="n">
        <v>5.9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4</v>
      </c>
      <c r="V17" s="2" t="inlineStr">
        <is>
          <t>Dropptaggsvamp
Tjäder</t>
        </is>
      </c>
      <c r="W17">
        <f>HYPERLINK("https://klasma.github.io/Logging_1864/artfynd/A 33193-2024 artfynd.xlsx", "A 33193-2024")</f>
        <v/>
      </c>
      <c r="X17">
        <f>HYPERLINK("https://klasma.github.io/Logging_1864/kartor/A 33193-2024 karta.png", "A 33193-2024")</f>
        <v/>
      </c>
      <c r="Y17">
        <f>HYPERLINK("https://klasma.github.io/Logging_1864/kartor_geotiff/A 33193-2024 georefererad karta.tif", "A 33193-2024")</f>
        <v/>
      </c>
      <c r="AA17">
        <f>HYPERLINK("https://klasma.github.io/Logging_1864/klagomål/A 33193-2024 FSC-klagomål.docx", "A 33193-2024")</f>
        <v/>
      </c>
      <c r="AB17">
        <f>HYPERLINK("https://klasma.github.io/Logging_1864/klagomålsmail/A 33193-2024 FSC-klagomål mail.docx", "A 33193-2024")</f>
        <v/>
      </c>
      <c r="AC17">
        <f>HYPERLINK("https://klasma.github.io/Logging_1864/tillsyn/A 33193-2024 tillsynsbegäran.docx", "A 33193-2024")</f>
        <v/>
      </c>
      <c r="AD17">
        <f>HYPERLINK("https://klasma.github.io/Logging_1864/tillsynsmail/A 33193-2024 tillsynsbegäran mail.docx", "A 33193-2024")</f>
        <v/>
      </c>
      <c r="AE17">
        <f>HYPERLINK("https://klasma.github.io/Logging_1864/fåglar/A 33193-2024 prioriterade fågelarter.docx", "A 33193-2024")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46321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46321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7</v>
      </c>
      <c r="V19" s="2" t="inlineStr">
        <is>
          <t>Spillkråka
Kungsfågel</t>
        </is>
      </c>
      <c r="W19">
        <f>HYPERLINK("https://klasma.github.io/Logging_1864/artfynd/A 62105-2022 artfynd.xlsx", "A 62105-2022")</f>
        <v/>
      </c>
      <c r="X19">
        <f>HYPERLINK("https://klasma.github.io/Logging_1864/kartor/A 62105-2022 karta.png", "A 62105-2022")</f>
        <v/>
      </c>
      <c r="Y19">
        <f>HYPERLINK("https://klasma.github.io/Logging_1864/kartor_geotiff/A 62105-2022 georefererad karta.tif", "A 62105-2022")</f>
        <v/>
      </c>
      <c r="AA19">
        <f>HYPERLINK("https://klasma.github.io/Logging_1864/klagomål/A 62105-2022 FSC-klagomål.docx", "A 62105-2022")</f>
        <v/>
      </c>
      <c r="AB19">
        <f>HYPERLINK("https://klasma.github.io/Logging_1864/klagomålsmail/A 62105-2022 FSC-klagomål mail.docx", "A 62105-2022")</f>
        <v/>
      </c>
      <c r="AC19">
        <f>HYPERLINK("https://klasma.github.io/Logging_1864/tillsyn/A 62105-2022 tillsynsbegäran.docx", "A 62105-2022")</f>
        <v/>
      </c>
      <c r="AD19">
        <f>HYPERLINK("https://klasma.github.io/Logging_1864/tillsynsmail/A 62105-2022 tillsynsbegäran mail.docx", "A 62105-2022")</f>
        <v/>
      </c>
      <c r="AE19">
        <f>HYPERLINK("https://klasma.github.io/Logging_1864/fåglar/A 62105-2022 prioriterade fågelarter.docx", "A 62105-2022")</f>
        <v/>
      </c>
    </row>
    <row r="20" ht="15" customHeight="1">
      <c r="A20" t="inlineStr">
        <is>
          <t>A 49157-2023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46321</v>
      </c>
      <c r="F20" t="inlineStr">
        <is>
          <t>ÖREBRO LÄN</t>
        </is>
      </c>
      <c r="G20" t="inlineStr">
        <is>
          <t>LJUSNARSBERG</t>
        </is>
      </c>
      <c r="I20" t="n">
        <v>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Rödgul trumpetsvamp
Skogshakmossa</t>
        </is>
      </c>
      <c r="W20">
        <f>HYPERLINK("https://klasma.github.io/Logging_1864/artfynd/A 49157-2023 artfynd.xlsx", "A 49157-2023")</f>
        <v/>
      </c>
      <c r="X20">
        <f>HYPERLINK("https://klasma.github.io/Logging_1864/kartor/A 49157-2023 karta.png", "A 49157-2023")</f>
        <v/>
      </c>
      <c r="Y20">
        <f>HYPERLINK("https://klasma.github.io/Logging_1864/kartor_geotiff/A 49157-2023 georefererad karta.tif", "A 49157-2023")</f>
        <v/>
      </c>
      <c r="AA20">
        <f>HYPERLINK("https://klasma.github.io/Logging_1864/klagomål/A 49157-2023 FSC-klagomål.docx", "A 49157-2023")</f>
        <v/>
      </c>
      <c r="AB20">
        <f>HYPERLINK("https://klasma.github.io/Logging_1864/klagomålsmail/A 49157-2023 FSC-klagomål mail.docx", "A 49157-2023")</f>
        <v/>
      </c>
      <c r="AC20">
        <f>HYPERLINK("https://klasma.github.io/Logging_1864/tillsyn/A 49157-2023 tillsynsbegäran.docx", "A 49157-2023")</f>
        <v/>
      </c>
      <c r="AD20">
        <f>HYPERLINK("https://klasma.github.io/Logging_1864/tillsynsmail/A 49157-2023 tillsynsbegäran mail.docx", "A 49157-2023")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46321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18857-2026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46127</v>
      </c>
      <c r="E22" s="1" t="n">
        <v>46321</v>
      </c>
      <c r="F22" t="inlineStr">
        <is>
          <t>ÖREBRO LÄN</t>
        </is>
      </c>
      <c r="G22" t="inlineStr">
        <is>
          <t>LJUSNARSBERG</t>
        </is>
      </c>
      <c r="I22" t="n">
        <v>5.1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Trana</t>
        </is>
      </c>
      <c r="W22">
        <f>HYPERLINK("https://klasma.github.io/Logging_1864/artfynd/A 18857-2026 artfynd.xlsx", "A 18857-2026")</f>
        <v/>
      </c>
      <c r="X22">
        <f>HYPERLINK("https://klasma.github.io/Logging_1864/kartor/A 18857-2026 karta.png", "A 18857-2026")</f>
        <v/>
      </c>
      <c r="Y22">
        <f>HYPERLINK("https://klasma.github.io/Logging_1864/kartor_geotiff/A 18857-2026 georefererad karta.tif", "A 18857-2026")</f>
        <v/>
      </c>
      <c r="AA22">
        <f>HYPERLINK("https://klasma.github.io/Logging_1864/klagomål/A 18857-2026 FSC-klagomål.docx", "A 18857-2026")</f>
        <v/>
      </c>
      <c r="AB22">
        <f>HYPERLINK("https://klasma.github.io/Logging_1864/klagomålsmail/A 18857-2026 FSC-klagomål mail.docx", "A 18857-2026")</f>
        <v/>
      </c>
      <c r="AC22">
        <f>HYPERLINK("https://klasma.github.io/Logging_1864/tillsyn/A 18857-2026 tillsynsbegäran.docx", "A 18857-2026")</f>
        <v/>
      </c>
      <c r="AD22">
        <f>HYPERLINK("https://klasma.github.io/Logging_1864/tillsynsmail/A 18857-2026 tillsynsbegäran mail.docx", "A 18857-2026")</f>
        <v/>
      </c>
      <c r="AE22">
        <f>HYPERLINK("https://klasma.github.io/Logging_1864/fåglar/A 18857-2026 prioriterade fågelarter.docx", "A 18857-2026")</f>
        <v/>
      </c>
    </row>
    <row r="23" ht="15" customHeight="1">
      <c r="A23" t="inlineStr">
        <is>
          <t>A 24348-2026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46167</v>
      </c>
      <c r="E23" s="1" t="n">
        <v>46321</v>
      </c>
      <c r="F23" t="inlineStr">
        <is>
          <t>ÖREBRO LÄN</t>
        </is>
      </c>
      <c r="G23" t="inlineStr">
        <is>
          <t>LJUSNARSBERG</t>
        </is>
      </c>
      <c r="I23" t="n">
        <v>4.8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HYPERLINK("https://klasma.github.io/Logging_1864/artfynd/A 24348-2026 artfynd.xlsx", "A 24348-2026")</f>
        <v/>
      </c>
      <c r="X23">
        <f>HYPERLINK("https://klasma.github.io/Logging_1864/kartor/A 24348-2026 karta.png", "A 24348-2026")</f>
        <v/>
      </c>
      <c r="Y23">
        <f>HYPERLINK("https://klasma.github.io/Logging_1864/kartor_geotiff/A 24348-2026 georefererad karta.tif", "A 24348-2026")</f>
        <v/>
      </c>
      <c r="AA23">
        <f>HYPERLINK("https://klasma.github.io/Logging_1864/klagomål/A 24348-2026 FSC-klagomål.docx", "A 24348-2026")</f>
        <v/>
      </c>
      <c r="AB23">
        <f>HYPERLINK("https://klasma.github.io/Logging_1864/klagomålsmail/A 24348-2026 FSC-klagomål mail.docx", "A 24348-2026")</f>
        <v/>
      </c>
      <c r="AC23">
        <f>HYPERLINK("https://klasma.github.io/Logging_1864/tillsyn/A 24348-2026 tillsynsbegäran.docx", "A 24348-2026")</f>
        <v/>
      </c>
      <c r="AD23">
        <f>HYPERLINK("https://klasma.github.io/Logging_1864/tillsynsmail/A 24348-2026 tillsynsbegäran mail.docx", "A 24348-2026")</f>
        <v/>
      </c>
      <c r="AE23">
        <f>HYPERLINK("https://klasma.github.io/Logging_1864/fåglar/A 24348-2026 prioriterade fågelarter.docx", "A 24348-2026")</f>
        <v/>
      </c>
    </row>
    <row r="24" ht="15" customHeight="1">
      <c r="A24" t="inlineStr">
        <is>
          <t>A 24791-2024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45460</v>
      </c>
      <c r="E24" s="1" t="n">
        <v>46321</v>
      </c>
      <c r="F24" t="inlineStr">
        <is>
          <t>ÖREBRO LÄN</t>
        </is>
      </c>
      <c r="G24" t="inlineStr">
        <is>
          <t>LJUSNARSBERG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Spillkråka</t>
        </is>
      </c>
      <c r="W24">
        <f>HYPERLINK("https://klasma.github.io/Logging_1864/artfynd/A 24791-2024 artfynd.xlsx", "A 24791-2024")</f>
        <v/>
      </c>
      <c r="X24">
        <f>HYPERLINK("https://klasma.github.io/Logging_1864/kartor/A 24791-2024 karta.png", "A 24791-2024")</f>
        <v/>
      </c>
      <c r="Y24">
        <f>HYPERLINK("https://klasma.github.io/Logging_1864/kartor_geotiff/A 24791-2024 georefererad karta.tif", "A 24791-2024")</f>
        <v/>
      </c>
      <c r="AA24">
        <f>HYPERLINK("https://klasma.github.io/Logging_1864/klagomål/A 24791-2024 FSC-klagomål.docx", "A 24791-2024")</f>
        <v/>
      </c>
      <c r="AB24">
        <f>HYPERLINK("https://klasma.github.io/Logging_1864/klagomålsmail/A 24791-2024 FSC-klagomål mail.docx", "A 24791-2024")</f>
        <v/>
      </c>
      <c r="AC24">
        <f>HYPERLINK("https://klasma.github.io/Logging_1864/tillsyn/A 24791-2024 tillsynsbegäran.docx", "A 24791-2024")</f>
        <v/>
      </c>
      <c r="AD24">
        <f>HYPERLINK("https://klasma.github.io/Logging_1864/tillsynsmail/A 24791-2024 tillsynsbegäran mail.docx", "A 24791-2024")</f>
        <v/>
      </c>
      <c r="AE24">
        <f>HYPERLINK("https://klasma.github.io/Logging_1864/fåglar/A 24791-2024 prioriterade fågelarter.docx", "A 24791-2024")</f>
        <v/>
      </c>
    </row>
    <row r="25" ht="15" customHeight="1">
      <c r="A25" t="inlineStr">
        <is>
          <t>A 56859-2025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45975</v>
      </c>
      <c r="E25" s="1" t="n">
        <v>46321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Större vattensalamander</t>
        </is>
      </c>
      <c r="W25">
        <f>HYPERLINK("https://klasma.github.io/Logging_1864/artfynd/A 56859-2025 artfynd.xlsx", "A 56859-2025")</f>
        <v/>
      </c>
      <c r="X25">
        <f>HYPERLINK("https://klasma.github.io/Logging_1864/kartor/A 56859-2025 karta.png", "A 56859-2025")</f>
        <v/>
      </c>
      <c r="Y25">
        <f>HYPERLINK("https://klasma.github.io/Logging_1864/kartor_geotiff/A 56859-2025 georefererad karta.tif", "A 56859-2025")</f>
        <v/>
      </c>
      <c r="AA25">
        <f>HYPERLINK("https://klasma.github.io/Logging_1864/klagomål/A 56859-2025 FSC-klagomål.docx", "A 56859-2025")</f>
        <v/>
      </c>
      <c r="AB25">
        <f>HYPERLINK("https://klasma.github.io/Logging_1864/klagomålsmail/A 56859-2025 FSC-klagomål mail.docx", "A 56859-2025")</f>
        <v/>
      </c>
      <c r="AC25">
        <f>HYPERLINK("https://klasma.github.io/Logging_1864/tillsyn/A 56859-2025 tillsynsbegäran.docx", "A 56859-2025")</f>
        <v/>
      </c>
      <c r="AD25">
        <f>HYPERLINK("https://klasma.github.io/Logging_1864/tillsynsmail/A 56859-2025 tillsynsbegäran mail.docx", "A 56859-2025")</f>
        <v/>
      </c>
    </row>
    <row r="26" ht="15" customHeight="1">
      <c r="A26" t="inlineStr">
        <is>
          <t>A 45537-2024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45578</v>
      </c>
      <c r="E26" s="1" t="n">
        <v>46321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4.3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2</v>
      </c>
      <c r="V26" s="2" t="inlineStr">
        <is>
          <t>Fläcknycklar</t>
        </is>
      </c>
      <c r="W26">
        <f>HYPERLINK("https://klasma.github.io/Logging_1864/artfynd/A 45537-2024 artfynd.xlsx", "A 45537-2024")</f>
        <v/>
      </c>
      <c r="X26">
        <f>HYPERLINK("https://klasma.github.io/Logging_1864/kartor/A 45537-2024 karta.png", "A 45537-2024")</f>
        <v/>
      </c>
      <c r="Y26">
        <f>HYPERLINK("https://klasma.github.io/Logging_1864/kartor_geotiff/A 45537-2024 georefererad karta.tif", "A 45537-2024")</f>
        <v/>
      </c>
      <c r="AA26">
        <f>HYPERLINK("https://klasma.github.io/Logging_1864/klagomål/A 45537-2024 FSC-klagomål.docx", "A 45537-2024")</f>
        <v/>
      </c>
      <c r="AB26">
        <f>HYPERLINK("https://klasma.github.io/Logging_1864/klagomålsmail/A 45537-2024 FSC-klagomål mail.docx", "A 45537-2024")</f>
        <v/>
      </c>
      <c r="AC26">
        <f>HYPERLINK("https://klasma.github.io/Logging_1864/tillsyn/A 45537-2024 tillsynsbegäran.docx", "A 45537-2024")</f>
        <v/>
      </c>
      <c r="AD26">
        <f>HYPERLINK("https://klasma.github.io/Logging_1864/tillsynsmail/A 45537-2024 tillsynsbegäran mail.docx", "A 45537-2024")</f>
        <v/>
      </c>
    </row>
    <row r="27" ht="15" customHeight="1">
      <c r="A27" t="inlineStr">
        <is>
          <t>A 20797-2022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44701</v>
      </c>
      <c r="E27" s="1" t="n">
        <v>46321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HYPERLINK("https://klasma.github.io/Logging_1864/artfynd/A 20797-2022 artfynd.xlsx", "A 20797-2022")</f>
        <v/>
      </c>
      <c r="X27">
        <f>HYPERLINK("https://klasma.github.io/Logging_1864/kartor/A 20797-2022 karta.png", "A 20797-2022")</f>
        <v/>
      </c>
      <c r="Y27">
        <f>HYPERLINK("https://klasma.github.io/Logging_1864/kartor_geotiff/A 20797-2022 georefererad karta.tif", "A 20797-2022")</f>
        <v/>
      </c>
      <c r="AA27">
        <f>HYPERLINK("https://klasma.github.io/Logging_1864/klagomål/A 20797-2022 FSC-klagomål.docx", "A 20797-2022")</f>
        <v/>
      </c>
      <c r="AB27">
        <f>HYPERLINK("https://klasma.github.io/Logging_1864/klagomålsmail/A 20797-2022 FSC-klagomål mail.docx", "A 20797-2022")</f>
        <v/>
      </c>
      <c r="AC27">
        <f>HYPERLINK("https://klasma.github.io/Logging_1864/tillsyn/A 20797-2022 tillsynsbegäran.docx", "A 20797-2022")</f>
        <v/>
      </c>
      <c r="AD27">
        <f>HYPERLINK("https://klasma.github.io/Logging_1864/tillsynsmail/A 20797-2022 tillsynsbegäran mail.docx", "A 20797-2022")</f>
        <v/>
      </c>
    </row>
    <row r="28" ht="15" customHeight="1">
      <c r="A28" t="inlineStr">
        <is>
          <t>A 39095-2022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44817</v>
      </c>
      <c r="E28" s="1" t="n">
        <v>46321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HYPERLINK("https://klasma.github.io/Logging_1864/artfynd/A 39095-2022 artfynd.xlsx", "A 39095-2022")</f>
        <v/>
      </c>
      <c r="X28">
        <f>HYPERLINK("https://klasma.github.io/Logging_1864/kartor/A 39095-2022 karta.png", "A 39095-2022")</f>
        <v/>
      </c>
      <c r="Y28">
        <f>HYPERLINK("https://klasma.github.io/Logging_1864/kartor_geotiff/A 39095-2022 georefererad karta.tif", "A 39095-2022")</f>
        <v/>
      </c>
      <c r="AA28">
        <f>HYPERLINK("https://klasma.github.io/Logging_1864/klagomål/A 39095-2022 FSC-klagomål.docx", "A 39095-2022")</f>
        <v/>
      </c>
      <c r="AB28">
        <f>HYPERLINK("https://klasma.github.io/Logging_1864/klagomålsmail/A 39095-2022 FSC-klagomål mail.docx", "A 39095-2022")</f>
        <v/>
      </c>
      <c r="AC28">
        <f>HYPERLINK("https://klasma.github.io/Logging_1864/tillsyn/A 39095-2022 tillsynsbegäran.docx", "A 39095-2022")</f>
        <v/>
      </c>
      <c r="AD28">
        <f>HYPERLINK("https://klasma.github.io/Logging_1864/tillsynsmail/A 39095-2022 tillsynsbegäran mail.docx", "A 39095-2022")</f>
        <v/>
      </c>
    </row>
    <row r="29" ht="15" customHeight="1">
      <c r="A29" t="inlineStr">
        <is>
          <t>S 3758-2024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45555</v>
      </c>
      <c r="E29" s="1" t="n">
        <v>46321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Bårdlav</t>
        </is>
      </c>
      <c r="W29">
        <f>HYPERLINK("https://klasma.github.io/Logging_1864/artfynd/S 3758-2024 artfynd.xlsx", "S 3758-2024")</f>
        <v/>
      </c>
      <c r="X29">
        <f>HYPERLINK("https://klasma.github.io/Logging_1864/kartor/S 3758-2024 karta.png", "S 3758-2024")</f>
        <v/>
      </c>
      <c r="Y29">
        <f>HYPERLINK("https://klasma.github.io/Logging_1864/kartor_geotiff/S 3758-2024 georefererad karta.tif", "S 3758-2024")</f>
        <v/>
      </c>
      <c r="AA29">
        <f>HYPERLINK("https://klasma.github.io/Logging_1864/klagomål/S 3758-2024 FSC-klagomål.docx", "S 3758-2024")</f>
        <v/>
      </c>
      <c r="AB29">
        <f>HYPERLINK("https://klasma.github.io/Logging_1864/klagomålsmail/S 3758-2024 FSC-klagomål mail.docx", "S 3758-2024")</f>
        <v/>
      </c>
      <c r="AC29">
        <f>HYPERLINK("https://klasma.github.io/Logging_1864/tillsyn/S 3758-2024 tillsynsbegäran.docx", "S 3758-2024")</f>
        <v/>
      </c>
      <c r="AD29">
        <f>HYPERLINK("https://klasma.github.io/Logging_1864/tillsynsmail/S 3758-2024 tillsynsbegäran mail.docx", "S 3758-2024")</f>
        <v/>
      </c>
    </row>
    <row r="30" ht="15" customHeight="1">
      <c r="A30" t="inlineStr">
        <is>
          <t>A 64400-2021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46321</v>
      </c>
      <c r="F30" t="inlineStr">
        <is>
          <t>ÖREBRO LÄN</t>
        </is>
      </c>
      <c r="G30" t="inlineStr">
        <is>
          <t>LJUSNARSBERG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72157-2021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44544</v>
      </c>
      <c r="E31" s="1" t="n">
        <v>46321</v>
      </c>
      <c r="F31" t="inlineStr">
        <is>
          <t>ÖREBRO LÄN</t>
        </is>
      </c>
      <c r="G31" t="inlineStr">
        <is>
          <t>LJUSNARSBERG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64978-2021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44513</v>
      </c>
      <c r="E32" s="1" t="n">
        <v>46321</v>
      </c>
      <c r="F32" t="inlineStr">
        <is>
          <t>ÖREBRO LÄN</t>
        </is>
      </c>
      <c r="G32" t="inlineStr">
        <is>
          <t>LJUSNARSBERG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44572</v>
      </c>
      <c r="E33" s="1" t="n">
        <v>46321</v>
      </c>
      <c r="F33" t="inlineStr">
        <is>
          <t>ÖREBRO LÄN</t>
        </is>
      </c>
      <c r="G33" t="inlineStr">
        <is>
          <t>LJUSNARSBERG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44595</v>
      </c>
      <c r="E34" s="1" t="n">
        <v>46321</v>
      </c>
      <c r="F34" t="inlineStr">
        <is>
          <t>ÖREBRO LÄN</t>
        </is>
      </c>
      <c r="G34" t="inlineStr">
        <is>
          <t>LJUSNARSBERG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46321</v>
      </c>
      <c r="F35" t="inlineStr">
        <is>
          <t>ÖREBRO LÄN</t>
        </is>
      </c>
      <c r="G35" t="inlineStr">
        <is>
          <t>LJUSNARSBERG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46321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46321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50552-2022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46321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31998-2022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44778</v>
      </c>
      <c r="E39" s="1" t="n">
        <v>46321</v>
      </c>
      <c r="F39" t="inlineStr">
        <is>
          <t>ÖREBRO LÄN</t>
        </is>
      </c>
      <c r="G39" t="inlineStr">
        <is>
          <t>LJUSNARSBERG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46321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46321</v>
      </c>
      <c r="F41" t="inlineStr">
        <is>
          <t>ÖREBRO LÄN</t>
        </is>
      </c>
      <c r="G41" t="inlineStr">
        <is>
          <t>LJUSNARSBERG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59630-2024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45638</v>
      </c>
      <c r="E42" s="1" t="n">
        <v>46321</v>
      </c>
      <c r="F42" t="inlineStr">
        <is>
          <t>ÖREBRO LÄN</t>
        </is>
      </c>
      <c r="G42" t="inlineStr">
        <is>
          <t>LJUSNARSBERG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31357-2025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45832</v>
      </c>
      <c r="E43" s="1" t="n">
        <v>46321</v>
      </c>
      <c r="F43" t="inlineStr">
        <is>
          <t>ÖREBRO LÄN</t>
        </is>
      </c>
      <c r="G43" t="inlineStr">
        <is>
          <t>LJUSNARSBERG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29595-2025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46321</v>
      </c>
      <c r="F44" t="inlineStr">
        <is>
          <t>ÖREBRO LÄN</t>
        </is>
      </c>
      <c r="G44" t="inlineStr">
        <is>
          <t>LJUSNARSBERG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40477-2025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46321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11.9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40477-2025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46321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46321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8.699999999999999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41032-2025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46321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41383-2025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45898</v>
      </c>
      <c r="E49" s="1" t="n">
        <v>46321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8.199999999999999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40933-2025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46321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16.6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41017-2025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46321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46321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18.1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40964-2025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45897</v>
      </c>
      <c r="E53" s="1" t="n">
        <v>46321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42287-2025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45903</v>
      </c>
      <c r="E54" s="1" t="n">
        <v>46321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10.3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43078-2025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46321</v>
      </c>
      <c r="F55" t="inlineStr">
        <is>
          <t>ÖREBRO LÄN</t>
        </is>
      </c>
      <c r="G55" t="inlineStr">
        <is>
          <t>LJUSNARSBERG</t>
        </is>
      </c>
      <c r="I55" t="n">
        <v>17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40864-2025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45897</v>
      </c>
      <c r="E56" s="1" t="n">
        <v>46321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23633-2026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46163</v>
      </c>
      <c r="E57" s="1" t="n">
        <v>46321</v>
      </c>
      <c r="F57" t="inlineStr">
        <is>
          <t>ÖREBRO LÄN</t>
        </is>
      </c>
      <c r="G57" t="inlineStr">
        <is>
          <t>LJUSNARSBERG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17276-2023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45035</v>
      </c>
      <c r="E58" s="1" t="n">
        <v>46321</v>
      </c>
      <c r="F58" t="inlineStr">
        <is>
          <t>ÖREBRO LÄN</t>
        </is>
      </c>
      <c r="G58" t="inlineStr">
        <is>
          <t>LJUSNARSBERG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24363-2026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46167</v>
      </c>
      <c r="E59" s="1" t="n">
        <v>46321</v>
      </c>
      <c r="F59" t="inlineStr">
        <is>
          <t>ÖREBRO LÄN</t>
        </is>
      </c>
      <c r="G59" t="inlineStr">
        <is>
          <t>LJUSNARSBERG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24343-2026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46167</v>
      </c>
      <c r="E60" s="1" t="n">
        <v>46321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24350-2026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46167</v>
      </c>
      <c r="E61" s="1" t="n">
        <v>46321</v>
      </c>
      <c r="F61" t="inlineStr">
        <is>
          <t>ÖREBRO LÄN</t>
        </is>
      </c>
      <c r="G61" t="inlineStr">
        <is>
          <t>LJUSNARSBERG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45925</v>
      </c>
      <c r="E62" s="1" t="n">
        <v>46321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45901</v>
      </c>
      <c r="E63" s="1" t="n">
        <v>46321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35151-2023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45145</v>
      </c>
      <c r="E64" s="1" t="n">
        <v>46321</v>
      </c>
      <c r="F64" t="inlineStr">
        <is>
          <t>ÖREBRO LÄN</t>
        </is>
      </c>
      <c r="G64" t="inlineStr">
        <is>
          <t>LJUSNARSBERG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62421-2022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46321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16613-2023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45030</v>
      </c>
      <c r="E66" s="1" t="n">
        <v>46321</v>
      </c>
      <c r="F66" t="inlineStr">
        <is>
          <t>ÖREBRO LÄN</t>
        </is>
      </c>
      <c r="G66" t="inlineStr">
        <is>
          <t>LJUSNARSBERG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45934</v>
      </c>
      <c r="E67" s="1" t="n">
        <v>46321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48540-2025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45934</v>
      </c>
      <c r="E68" s="1" t="n">
        <v>46321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48542-2025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45934</v>
      </c>
      <c r="E69" s="1" t="n">
        <v>46321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48204-2025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45933</v>
      </c>
      <c r="E70" s="1" t="n">
        <v>46321</v>
      </c>
      <c r="F70" t="inlineStr">
        <is>
          <t>ÖREBRO LÄN</t>
        </is>
      </c>
      <c r="G70" t="inlineStr">
        <is>
          <t>LJUSNARSBERG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48564-2025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45934</v>
      </c>
      <c r="E71" s="1" t="n">
        <v>46321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46321</v>
      </c>
      <c r="F72" t="inlineStr">
        <is>
          <t>ÖREBRO LÄN</t>
        </is>
      </c>
      <c r="G72" t="inlineStr">
        <is>
          <t>LJUSNARSBERG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45390</v>
      </c>
      <c r="E73" s="1" t="n">
        <v>46321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17.8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18975-2025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45764</v>
      </c>
      <c r="E74" s="1" t="n">
        <v>46321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50865-2025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45946</v>
      </c>
      <c r="E75" s="1" t="n">
        <v>46321</v>
      </c>
      <c r="F75" t="inlineStr">
        <is>
          <t>ÖREBRO LÄN</t>
        </is>
      </c>
      <c r="G75" t="inlineStr">
        <is>
          <t>LJUSNARSBERG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51693-2025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45951</v>
      </c>
      <c r="E76" s="1" t="n">
        <v>46321</v>
      </c>
      <c r="F76" t="inlineStr">
        <is>
          <t>ÖREBRO LÄN</t>
        </is>
      </c>
      <c r="G76" t="inlineStr">
        <is>
          <t>LJUSNARSBERG</t>
        </is>
      </c>
      <c r="I76" t="n">
        <v>10.8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26379-2026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46183</v>
      </c>
      <c r="E77" s="1" t="n">
        <v>46321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26847-2026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46185</v>
      </c>
      <c r="E78" s="1" t="n">
        <v>46321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14.5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45539-2024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45578</v>
      </c>
      <c r="E79" s="1" t="n">
        <v>46321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29436-2023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45106</v>
      </c>
      <c r="E80" s="1" t="n">
        <v>46321</v>
      </c>
      <c r="F80" t="inlineStr">
        <is>
          <t>ÖREBRO LÄN</t>
        </is>
      </c>
      <c r="G80" t="inlineStr">
        <is>
          <t>LJUSNARSBERG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57400-2025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45980</v>
      </c>
      <c r="E81" s="1" t="n">
        <v>46321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45980</v>
      </c>
      <c r="E82" s="1" t="n">
        <v>46321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31167-2023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45103</v>
      </c>
      <c r="E83" s="1" t="n">
        <v>46321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18932-2022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44690</v>
      </c>
      <c r="E84" s="1" t="n">
        <v>46321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59495-2024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45638</v>
      </c>
      <c r="E85" s="1" t="n">
        <v>46321</v>
      </c>
      <c r="F85" t="inlineStr">
        <is>
          <t>ÖREBRO LÄN</t>
        </is>
      </c>
      <c r="G85" t="inlineStr">
        <is>
          <t>LJUSNARSBERG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44780-2024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46321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44503</v>
      </c>
      <c r="E87" s="1" t="n">
        <v>46321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45936</v>
      </c>
      <c r="E88" s="1" t="n">
        <v>46321</v>
      </c>
      <c r="F88" t="inlineStr">
        <is>
          <t>ÖREBRO LÄN</t>
        </is>
      </c>
      <c r="G88" t="inlineStr">
        <is>
          <t>LJUSNARSBERG</t>
        </is>
      </c>
      <c r="H88" t="inlineStr">
        <is>
          <t>Sveaskog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61579-2025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46321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31162-2023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46321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24319-2026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46167</v>
      </c>
      <c r="E91" s="1" t="n">
        <v>46321</v>
      </c>
      <c r="F91" t="inlineStr">
        <is>
          <t>ÖREBRO LÄN</t>
        </is>
      </c>
      <c r="G91" t="inlineStr">
        <is>
          <t>LJUSNARSBERG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37866-2026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46279</v>
      </c>
      <c r="E92" s="1" t="n">
        <v>46321</v>
      </c>
      <c r="F92" t="inlineStr">
        <is>
          <t>ÖREBRO LÄN</t>
        </is>
      </c>
      <c r="G92" t="inlineStr">
        <is>
          <t>LJUSNARSBERG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28778-2024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45478</v>
      </c>
      <c r="E93" s="1" t="n">
        <v>46321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46013</v>
      </c>
      <c r="E94" s="1" t="n">
        <v>46321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38378-2026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46282</v>
      </c>
      <c r="E95" s="1" t="n">
        <v>46321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38269-2026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46281</v>
      </c>
      <c r="E96" s="1" t="n">
        <v>46321</v>
      </c>
      <c r="F96" t="inlineStr">
        <is>
          <t>ÖREBRO LÄN</t>
        </is>
      </c>
      <c r="G96" t="inlineStr">
        <is>
          <t>LJUSNARSBERG</t>
        </is>
      </c>
      <c r="H96" t="inlineStr">
        <is>
          <t>Kyrkan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13389-2024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45387</v>
      </c>
      <c r="E97" s="1" t="n">
        <v>46321</v>
      </c>
      <c r="F97" t="inlineStr">
        <is>
          <t>ÖREBRO LÄN</t>
        </is>
      </c>
      <c r="G97" t="inlineStr">
        <is>
          <t>LJUSNARSBERG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45698</v>
      </c>
      <c r="E98" s="1" t="n">
        <v>46321</v>
      </c>
      <c r="F98" t="inlineStr">
        <is>
          <t>ÖREBRO LÄN</t>
        </is>
      </c>
      <c r="G98" t="inlineStr">
        <is>
          <t>LJUSNARSBERG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45593</v>
      </c>
      <c r="E99" s="1" t="n">
        <v>46321</v>
      </c>
      <c r="F99" t="inlineStr">
        <is>
          <t>ÖREBRO LÄN</t>
        </is>
      </c>
      <c r="G99" t="inlineStr">
        <is>
          <t>LJUSNARSBERG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45110</v>
      </c>
      <c r="E100" s="1" t="n">
        <v>46321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10.8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45142</v>
      </c>
      <c r="E101" s="1" t="n">
        <v>46321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46321</v>
      </c>
      <c r="F102" t="inlineStr">
        <is>
          <t>ÖREBRO LÄN</t>
        </is>
      </c>
      <c r="G102" t="inlineStr">
        <is>
          <t>LJUSNARSBERG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17923-2024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45419</v>
      </c>
      <c r="E103" s="1" t="n">
        <v>46321</v>
      </c>
      <c r="F103" t="inlineStr">
        <is>
          <t>ÖREBRO LÄN</t>
        </is>
      </c>
      <c r="G103" t="inlineStr">
        <is>
          <t>LJUSNARSBERG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17924-2024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45419</v>
      </c>
      <c r="E104" s="1" t="n">
        <v>46321</v>
      </c>
      <c r="F104" t="inlineStr">
        <is>
          <t>ÖREBRO LÄN</t>
        </is>
      </c>
      <c r="G104" t="inlineStr">
        <is>
          <t>LJUSNARSBERG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46321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2667-2026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46037</v>
      </c>
      <c r="E106" s="1" t="n">
        <v>46321</v>
      </c>
      <c r="F106" t="inlineStr">
        <is>
          <t>ÖREBRO LÄN</t>
        </is>
      </c>
      <c r="G106" t="inlineStr">
        <is>
          <t>LJUSNARSBERG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45106</v>
      </c>
      <c r="E107" s="1" t="n">
        <v>46321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11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33974-2023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45124</v>
      </c>
      <c r="E108" s="1" t="n">
        <v>46321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45124</v>
      </c>
      <c r="E109" s="1" t="n">
        <v>46321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45347</v>
      </c>
      <c r="E110" s="1" t="n">
        <v>46321</v>
      </c>
      <c r="F110" t="inlineStr">
        <is>
          <t>ÖREBRO LÄN</t>
        </is>
      </c>
      <c r="G110" t="inlineStr">
        <is>
          <t>LJUSNARSBERG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33245-2026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46246</v>
      </c>
      <c r="E111" s="1" t="n">
        <v>46321</v>
      </c>
      <c r="F111" t="inlineStr">
        <is>
          <t>ÖREBRO LÄN</t>
        </is>
      </c>
      <c r="G111" t="inlineStr">
        <is>
          <t>LJUSNARSBERG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33488-2026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46247</v>
      </c>
      <c r="E112" s="1" t="n">
        <v>46321</v>
      </c>
      <c r="F112" t="inlineStr">
        <is>
          <t>ÖREBRO LÄN</t>
        </is>
      </c>
      <c r="G112" t="inlineStr">
        <is>
          <t>LJUSNARSBERG</t>
        </is>
      </c>
      <c r="H112" t="inlineStr">
        <is>
          <t>Kyrkan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46290</v>
      </c>
      <c r="E113" s="1" t="n">
        <v>46321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26469-2025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46321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20673-2025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45776</v>
      </c>
      <c r="E115" s="1" t="n">
        <v>46321</v>
      </c>
      <c r="F115" t="inlineStr">
        <is>
          <t>ÖREBRO LÄN</t>
        </is>
      </c>
      <c r="G115" t="inlineStr">
        <is>
          <t>LJUSNARSBERG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40443-2026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46294</v>
      </c>
      <c r="E116" s="1" t="n">
        <v>46321</v>
      </c>
      <c r="F116" t="inlineStr">
        <is>
          <t>ÖREBRO LÄN</t>
        </is>
      </c>
      <c r="G116" t="inlineStr">
        <is>
          <t>LJUSNARSBERG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45826</v>
      </c>
      <c r="E117" s="1" t="n">
        <v>46321</v>
      </c>
      <c r="F117" t="inlineStr">
        <is>
          <t>ÖREBRO LÄN</t>
        </is>
      </c>
      <c r="G117" t="inlineStr">
        <is>
          <t>LJUSNARSBERG</t>
        </is>
      </c>
      <c r="H117" t="inlineStr">
        <is>
          <t>Sveaskog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46321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46321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33753-2026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46251</v>
      </c>
      <c r="E120" s="1" t="n">
        <v>46321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45827</v>
      </c>
      <c r="E121" s="1" t="n">
        <v>46321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33622-2025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46321</v>
      </c>
      <c r="F122" t="inlineStr">
        <is>
          <t>ÖREBRO LÄN</t>
        </is>
      </c>
      <c r="G122" t="inlineStr">
        <is>
          <t>LJUSNARSBERG</t>
        </is>
      </c>
      <c r="H122" t="inlineStr">
        <is>
          <t>Kyrkan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41484-2026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46301</v>
      </c>
      <c r="E123" s="1" t="n">
        <v>46321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41491-2026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46300</v>
      </c>
      <c r="E124" s="1" t="n">
        <v>46321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41478-2026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46300</v>
      </c>
      <c r="E125" s="1" t="n">
        <v>46321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41458-2026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46300</v>
      </c>
      <c r="E126" s="1" t="n">
        <v>46321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44880</v>
      </c>
      <c r="E127" s="1" t="n">
        <v>46321</v>
      </c>
      <c r="F127" t="inlineStr">
        <is>
          <t>ÖREBRO LÄN</t>
        </is>
      </c>
      <c r="G127" t="inlineStr">
        <is>
          <t>LJUSNARSBERG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41471-2026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46300</v>
      </c>
      <c r="E128" s="1" t="n">
        <v>46321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41550-2026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46301</v>
      </c>
      <c r="E129" s="1" t="n">
        <v>46321</v>
      </c>
      <c r="F129" t="inlineStr">
        <is>
          <t>ÖREBRO LÄN</t>
        </is>
      </c>
      <c r="G129" t="inlineStr">
        <is>
          <t>LJUSNARSBERG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41489-2026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46300</v>
      </c>
      <c r="E130" s="1" t="n">
        <v>46321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41490-2026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46300</v>
      </c>
      <c r="E131" s="1" t="n">
        <v>46321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45659</v>
      </c>
      <c r="E132" s="1" t="n">
        <v>46321</v>
      </c>
      <c r="F132" t="inlineStr">
        <is>
          <t>ÖREBRO LÄN</t>
        </is>
      </c>
      <c r="G132" t="inlineStr">
        <is>
          <t>LJUSNARSBERG</t>
        </is>
      </c>
      <c r="I132" t="n">
        <v>6.5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59629-2024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45638</v>
      </c>
      <c r="E133" s="1" t="n">
        <v>46321</v>
      </c>
      <c r="F133" t="inlineStr">
        <is>
          <t>ÖREBRO LÄN</t>
        </is>
      </c>
      <c r="G133" t="inlineStr">
        <is>
          <t>LJUSNARSBERG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46133</v>
      </c>
      <c r="E134" s="1" t="n">
        <v>46321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59497-2024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45638</v>
      </c>
      <c r="E135" s="1" t="n">
        <v>46321</v>
      </c>
      <c r="F135" t="inlineStr">
        <is>
          <t>ÖREBRO LÄN</t>
        </is>
      </c>
      <c r="G135" t="inlineStr">
        <is>
          <t>LJUSNARSBERG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22887-2024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45448</v>
      </c>
      <c r="E136" s="1" t="n">
        <v>46321</v>
      </c>
      <c r="F136" t="inlineStr">
        <is>
          <t>ÖREBRO LÄN</t>
        </is>
      </c>
      <c r="G136" t="inlineStr">
        <is>
          <t>LJUSNARSBERG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42248-2026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46307</v>
      </c>
      <c r="E137" s="1" t="n">
        <v>46321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12482-2023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44999</v>
      </c>
      <c r="E138" s="1" t="n">
        <v>46321</v>
      </c>
      <c r="F138" t="inlineStr">
        <is>
          <t>ÖREBRO LÄN</t>
        </is>
      </c>
      <c r="G138" t="inlineStr">
        <is>
          <t>LJUSNARSBERG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45155</v>
      </c>
      <c r="E139" s="1" t="n">
        <v>46321</v>
      </c>
      <c r="F139" t="inlineStr">
        <is>
          <t>ÖREBRO LÄN</t>
        </is>
      </c>
      <c r="G139" t="inlineStr">
        <is>
          <t>LJUSNARSBERG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27343-2025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46321</v>
      </c>
      <c r="F140" t="inlineStr">
        <is>
          <t>ÖREBRO LÄN</t>
        </is>
      </c>
      <c r="G140" t="inlineStr">
        <is>
          <t>LJUSNARSBERG</t>
        </is>
      </c>
      <c r="H140" t="inlineStr">
        <is>
          <t>Sveaskog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45538-2024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45578</v>
      </c>
      <c r="E141" s="1" t="n">
        <v>46321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46085-2024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45581</v>
      </c>
      <c r="E142" s="1" t="n">
        <v>46321</v>
      </c>
      <c r="F142" t="inlineStr">
        <is>
          <t>ÖREBRO LÄN</t>
        </is>
      </c>
      <c r="G142" t="inlineStr">
        <is>
          <t>LJUSNARSBERG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44760-2024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45574</v>
      </c>
      <c r="E143" s="1" t="n">
        <v>46321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36108-2024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46321</v>
      </c>
      <c r="F144" t="inlineStr">
        <is>
          <t>ÖREBRO LÄN</t>
        </is>
      </c>
      <c r="G144" t="inlineStr">
        <is>
          <t>LJUSNARSBERG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36771-2026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46272</v>
      </c>
      <c r="E145" s="1" t="n">
        <v>46321</v>
      </c>
      <c r="F145" t="inlineStr">
        <is>
          <t>ÖREBRO LÄN</t>
        </is>
      </c>
      <c r="G145" t="inlineStr">
        <is>
          <t>LJUSNARSBERG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43474-2026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46315</v>
      </c>
      <c r="E146" s="1" t="n">
        <v>46321</v>
      </c>
      <c r="F146" t="inlineStr">
        <is>
          <t>ÖREBRO LÄN</t>
        </is>
      </c>
      <c r="G146" t="inlineStr">
        <is>
          <t>LJUSNARSBERG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36780-2026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46272</v>
      </c>
      <c r="E147" s="1" t="n">
        <v>46321</v>
      </c>
      <c r="F147" t="inlineStr">
        <is>
          <t>ÖREBRO LÄN</t>
        </is>
      </c>
      <c r="G147" t="inlineStr">
        <is>
          <t>LJUSNARSBERG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43468-2026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46315</v>
      </c>
      <c r="E148" s="1" t="n">
        <v>46321</v>
      </c>
      <c r="F148" t="inlineStr">
        <is>
          <t>ÖREBRO LÄN</t>
        </is>
      </c>
      <c r="G148" t="inlineStr">
        <is>
          <t>LJUSNARSBERG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43638-2025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46321</v>
      </c>
      <c r="F149" t="inlineStr">
        <is>
          <t>ÖREBRO LÄN</t>
        </is>
      </c>
      <c r="G149" t="inlineStr">
        <is>
          <t>LJUSNARSBERG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44002-2026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46317</v>
      </c>
      <c r="E150" s="1" t="n">
        <v>46321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44983-2024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45575</v>
      </c>
      <c r="E151" s="1" t="n">
        <v>46321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46275</v>
      </c>
      <c r="E152" s="1" t="n">
        <v>46321</v>
      </c>
      <c r="F152" t="inlineStr">
        <is>
          <t>ÖREBRO LÄN</t>
        </is>
      </c>
      <c r="G152" t="inlineStr">
        <is>
          <t>LJUSNARSBERG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44939</v>
      </c>
      <c r="E153" s="1" t="n">
        <v>46321</v>
      </c>
      <c r="F153" t="inlineStr">
        <is>
          <t>ÖREBRO LÄN</t>
        </is>
      </c>
      <c r="G153" t="inlineStr">
        <is>
          <t>LJUSNARSBERG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44007-2026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46317</v>
      </c>
      <c r="E154" s="1" t="n">
        <v>46321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46805-2024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45583</v>
      </c>
      <c r="E155" s="1" t="n">
        <v>46321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21186-2026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46146</v>
      </c>
      <c r="E156" s="1" t="n">
        <v>46321</v>
      </c>
      <c r="F156" t="inlineStr">
        <is>
          <t>ÖREBRO LÄN</t>
        </is>
      </c>
      <c r="G156" t="inlineStr">
        <is>
          <t>LJUSNARSBERG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46146</v>
      </c>
      <c r="E157" s="1" t="n">
        <v>46321</v>
      </c>
      <c r="F157" t="inlineStr">
        <is>
          <t>ÖREBRO LÄN</t>
        </is>
      </c>
      <c r="G157" t="inlineStr">
        <is>
          <t>LJUSNARSBERG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46321</v>
      </c>
      <c r="F158" t="inlineStr">
        <is>
          <t>ÖREBRO LÄN</t>
        </is>
      </c>
      <c r="G158" t="inlineStr">
        <is>
          <t>LJUSNARSBERG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25574-2023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45089</v>
      </c>
      <c r="E159" s="1" t="n">
        <v>46321</v>
      </c>
      <c r="F159" t="inlineStr">
        <is>
          <t>ÖREBRO LÄN</t>
        </is>
      </c>
      <c r="G159" t="inlineStr">
        <is>
          <t>LJUSNARSBERG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47017-2025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46321</v>
      </c>
      <c r="F160" t="inlineStr">
        <is>
          <t>ÖREBRO LÄN</t>
        </is>
      </c>
      <c r="G160" t="inlineStr">
        <is>
          <t>LJUSNARSBERG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22366-2026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46154</v>
      </c>
      <c r="E161" s="1" t="n">
        <v>46321</v>
      </c>
      <c r="F161" t="inlineStr">
        <is>
          <t>ÖREBRO LÄN</t>
        </is>
      </c>
      <c r="G161" t="inlineStr">
        <is>
          <t>LJUSNARSBERG</t>
        </is>
      </c>
      <c r="I161" t="n">
        <v>14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45839</v>
      </c>
      <c r="E162" s="1" t="n">
        <v>46321</v>
      </c>
      <c r="F162" t="inlineStr">
        <is>
          <t>ÖREBRO LÄN</t>
        </is>
      </c>
      <c r="G162" t="inlineStr">
        <is>
          <t>LJUSNARSBERG</t>
        </is>
      </c>
      <c r="H162" t="inlineStr">
        <is>
          <t>Kommuner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45085</v>
      </c>
      <c r="E163" s="1" t="n">
        <v>46321</v>
      </c>
      <c r="F163" t="inlineStr">
        <is>
          <t>ÖREBRO LÄN</t>
        </is>
      </c>
      <c r="G163" t="inlineStr">
        <is>
          <t>LJUSNARSBERG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53595-2024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45614</v>
      </c>
      <c r="E164" s="1" t="n">
        <v>46321</v>
      </c>
      <c r="F164" t="inlineStr">
        <is>
          <t>ÖREBRO LÄN</t>
        </is>
      </c>
      <c r="G164" t="inlineStr">
        <is>
          <t>LJUSNARSBERG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18938-2022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44690</v>
      </c>
      <c r="E165" s="1" t="n">
        <v>46321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26617-2022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44739</v>
      </c>
      <c r="E166" s="1" t="n">
        <v>46321</v>
      </c>
      <c r="F166" t="inlineStr">
        <is>
          <t>ÖREBRO LÄN</t>
        </is>
      </c>
      <c r="G166" t="inlineStr">
        <is>
          <t>LJUSNARSBERG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45769</v>
      </c>
      <c r="E167" s="1" t="n">
        <v>46321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59627-2024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45638</v>
      </c>
      <c r="E168" s="1" t="n">
        <v>46321</v>
      </c>
      <c r="F168" t="inlineStr">
        <is>
          <t>ÖREBRO LÄN</t>
        </is>
      </c>
      <c r="G168" t="inlineStr">
        <is>
          <t>LJUSNARSBERG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23346-2022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44720</v>
      </c>
      <c r="E169" s="1" t="n">
        <v>46321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17933-2024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45419</v>
      </c>
      <c r="E170" s="1" t="n">
        <v>46321</v>
      </c>
      <c r="F170" t="inlineStr">
        <is>
          <t>ÖREBRO LÄN</t>
        </is>
      </c>
      <c r="G170" t="inlineStr">
        <is>
          <t>LJUSNARSBERG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23372-2022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46321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46321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44565</v>
      </c>
      <c r="E173" s="1" t="n">
        <v>46321</v>
      </c>
      <c r="F173" t="inlineStr">
        <is>
          <t>ÖREBRO LÄN</t>
        </is>
      </c>
      <c r="G173" t="inlineStr">
        <is>
          <t>LJUSNARSBERG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52489-2022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44874</v>
      </c>
      <c r="E174" s="1" t="n">
        <v>46321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30414-2023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45111</v>
      </c>
      <c r="E175" s="1" t="n">
        <v>46321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12.8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62667-2022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44917</v>
      </c>
      <c r="E176" s="1" t="n">
        <v>46321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25098-2023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45086</v>
      </c>
      <c r="E177" s="1" t="n">
        <v>46321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14500-2024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45394</v>
      </c>
      <c r="E178" s="1" t="n">
        <v>46321</v>
      </c>
      <c r="F178" t="inlineStr">
        <is>
          <t>ÖREBRO LÄN</t>
        </is>
      </c>
      <c r="G178" t="inlineStr">
        <is>
          <t>LJUSNARSBERG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67746-2021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44524</v>
      </c>
      <c r="E179" s="1" t="n">
        <v>46321</v>
      </c>
      <c r="F179" t="inlineStr">
        <is>
          <t>ÖREBRO LÄN</t>
        </is>
      </c>
      <c r="G179" t="inlineStr">
        <is>
          <t>LJUSNARSBERG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45581</v>
      </c>
      <c r="E180" s="1" t="n">
        <v>46321</v>
      </c>
      <c r="F180" t="inlineStr">
        <is>
          <t>ÖREBRO LÄN</t>
        </is>
      </c>
      <c r="G180" t="inlineStr">
        <is>
          <t>LJUSNARSBERG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44564</v>
      </c>
      <c r="E181" s="1" t="n">
        <v>46321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45583</v>
      </c>
      <c r="E182" s="1" t="n">
        <v>46321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25671-2024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45463</v>
      </c>
      <c r="E183" s="1" t="n">
        <v>46321</v>
      </c>
      <c r="F183" t="inlineStr">
        <is>
          <t>ÖREBRO LÄN</t>
        </is>
      </c>
      <c r="G183" t="inlineStr">
        <is>
          <t>LJUSNARSBERG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45217</v>
      </c>
      <c r="E184" s="1" t="n">
        <v>46321</v>
      </c>
      <c r="F184" t="inlineStr">
        <is>
          <t>ÖREBRO LÄN</t>
        </is>
      </c>
      <c r="G184" t="inlineStr">
        <is>
          <t>LJUSNARSBERG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46321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31295-2023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46321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45608</v>
      </c>
      <c r="E187" s="1" t="n">
        <v>46321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44694</v>
      </c>
      <c r="E188" s="1" t="n">
        <v>46321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33976-2023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45124</v>
      </c>
      <c r="E189" s="1" t="n">
        <v>46321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55787-2023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45239</v>
      </c>
      <c r="E190" s="1" t="n">
        <v>46321</v>
      </c>
      <c r="F190" t="inlineStr">
        <is>
          <t>ÖREBRO LÄN</t>
        </is>
      </c>
      <c r="G190" t="inlineStr">
        <is>
          <t>LJUSNARSBERG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33861-2022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44790</v>
      </c>
      <c r="E191" s="1" t="n">
        <v>46321</v>
      </c>
      <c r="F191" t="inlineStr">
        <is>
          <t>ÖREBRO LÄN</t>
        </is>
      </c>
      <c r="G191" t="inlineStr">
        <is>
          <t>LJUSNARSBERG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45155</v>
      </c>
      <c r="E192" s="1" t="n">
        <v>46321</v>
      </c>
      <c r="F192" t="inlineStr">
        <is>
          <t>ÖREBRO LÄN</t>
        </is>
      </c>
      <c r="G192" t="inlineStr">
        <is>
          <t>LJUSNARSBERG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12489-2023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44999</v>
      </c>
      <c r="E193" s="1" t="n">
        <v>46321</v>
      </c>
      <c r="F193" t="inlineStr">
        <is>
          <t>ÖREBRO LÄN</t>
        </is>
      </c>
      <c r="G193" t="inlineStr">
        <is>
          <t>LJUSNARSBERG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45399</v>
      </c>
      <c r="E194" s="1" t="n">
        <v>46321</v>
      </c>
      <c r="F194" t="inlineStr">
        <is>
          <t>ÖREBRO LÄN</t>
        </is>
      </c>
      <c r="G194" t="inlineStr">
        <is>
          <t>LJUSNARSBERG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46146-2022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44847</v>
      </c>
      <c r="E195" s="1" t="n">
        <v>46321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7903-2022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44607</v>
      </c>
      <c r="E196" s="1" t="n">
        <v>46321</v>
      </c>
      <c r="F196" t="inlineStr">
        <is>
          <t>ÖREBRO LÄN</t>
        </is>
      </c>
      <c r="G196" t="inlineStr">
        <is>
          <t>LJUSNARSBERG</t>
        </is>
      </c>
      <c r="H196" t="inlineStr">
        <is>
          <t>Kyrkan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62843-2021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44503</v>
      </c>
      <c r="E197" s="1" t="n">
        <v>46321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45177</v>
      </c>
      <c r="E198" s="1" t="n">
        <v>46321</v>
      </c>
      <c r="F198" t="inlineStr">
        <is>
          <t>ÖREBRO LÄN</t>
        </is>
      </c>
      <c r="G198" t="inlineStr">
        <is>
          <t>LJUSNARSBERG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45265</v>
      </c>
      <c r="E199" s="1" t="n">
        <v>46321</v>
      </c>
      <c r="F199" t="inlineStr">
        <is>
          <t>ÖREBRO LÄN</t>
        </is>
      </c>
      <c r="G199" t="inlineStr">
        <is>
          <t>LJUSNARSBERG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57090-2022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44895</v>
      </c>
      <c r="E200" s="1" t="n">
        <v>46321</v>
      </c>
      <c r="F200" t="inlineStr">
        <is>
          <t>ÖREBRO LÄN</t>
        </is>
      </c>
      <c r="G200" t="inlineStr">
        <is>
          <t>LJUSNARSBERG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3541-2022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44734</v>
      </c>
      <c r="E201" s="1" t="n">
        <v>46321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10473-2021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44559</v>
      </c>
      <c r="E202" s="1" t="n">
        <v>46321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410-2022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44585</v>
      </c>
      <c r="E203" s="1" t="n">
        <v>46321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1099-2022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44615</v>
      </c>
      <c r="E204" s="1" t="n">
        <v>46321</v>
      </c>
      <c r="F204" t="inlineStr">
        <is>
          <t>ÖREBRO LÄN</t>
        </is>
      </c>
      <c r="G204" t="inlineStr">
        <is>
          <t>LJUSNARSBERG</t>
        </is>
      </c>
      <c r="H204" t="inlineStr">
        <is>
          <t>Sveaskog</t>
        </is>
      </c>
      <c r="I204" t="n">
        <v>147.4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880-2024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45376</v>
      </c>
      <c r="E205" s="1" t="n">
        <v>46321</v>
      </c>
      <c r="F205" t="inlineStr">
        <is>
          <t>ÖREBRO LÄN</t>
        </is>
      </c>
      <c r="G205" t="inlineStr">
        <is>
          <t>LJUSNARSBERG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3528-2023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45205</v>
      </c>
      <c r="E206" s="1" t="n">
        <v>46321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39.4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4521-2023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45275</v>
      </c>
      <c r="E207" s="1" t="n">
        <v>46321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2836-2023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45167</v>
      </c>
      <c r="E208" s="1" t="n">
        <v>46321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707-2025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45720</v>
      </c>
      <c r="E209" s="1" t="n">
        <v>46321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162.6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1972-2025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45832</v>
      </c>
      <c r="E210" s="1" t="n">
        <v>46321</v>
      </c>
      <c r="F210" t="inlineStr">
        <is>
          <t>ÖREBRO LÄN</t>
        </is>
      </c>
      <c r="G210" t="inlineStr">
        <is>
          <t>LJUSNARSBERG</t>
        </is>
      </c>
      <c r="H210" t="inlineStr">
        <is>
          <t>Sveaskog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3578-2025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46010</v>
      </c>
      <c r="E211" s="1" t="n">
        <v>46321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603-2026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46085</v>
      </c>
      <c r="E212" s="1" t="n">
        <v>46321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125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1743-2026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46185</v>
      </c>
      <c r="E213" s="1" t="n">
        <v>46321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16.8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2322-2026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46269</v>
      </c>
      <c r="E214" s="1" t="n">
        <v>46321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67.09999999999999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1624-2026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46174</v>
      </c>
      <c r="E215" s="1" t="n">
        <v>46321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23.6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2026-10-26T03:09:30Z</dcterms:created>
  <dcterms:modified xmlns:dcterms="http://purl.org/dc/terms/" xmlns:xsi="http://www.w3.org/2001/XMLSchema-instance" xsi:type="dcterms:W3CDTF">2026-10-26T03:09:30Z</dcterms:modified>
</cp:coreProperties>
</file>