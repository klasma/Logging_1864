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46280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46280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46280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46280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46280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46280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46280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46280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46280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46280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24374-2026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46280</v>
      </c>
      <c r="F17" t="inlineStr">
        <is>
          <t>ÖREBRO LÄN</t>
        </is>
      </c>
      <c r="G17" t="inlineStr">
        <is>
          <t>LJUSNARSBERG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Vågbandad barkbock
Fläcknycklar</t>
        </is>
      </c>
      <c r="W17">
        <f>HYPERLINK("https://klasma.github.io/Logging_1864/artfynd/A 24374-2026 artfynd.xlsx", "A 24374-2026")</f>
        <v/>
      </c>
      <c r="X17">
        <f>HYPERLINK("https://klasma.github.io/Logging_1864/kartor/A 24374-2026 karta.png", "A 24374-2026")</f>
        <v/>
      </c>
      <c r="Y17">
        <f>HYPERLINK("https://klasma.github.io/Logging_1864/kartor_geotiff/A 24374-2026 georefererad karta.tif", "A 24374-2026")</f>
        <v/>
      </c>
      <c r="AA17">
        <f>HYPERLINK("https://klasma.github.io/Logging_1864/klagomål/A 24374-2026 FSC-klagomål.docx", "A 24374-2026")</f>
        <v/>
      </c>
      <c r="AB17">
        <f>HYPERLINK("https://klasma.github.io/Logging_1864/klagomålsmail/A 24374-2026 FSC-klagomål mail.docx", "A 24374-2026")</f>
        <v/>
      </c>
      <c r="AC17">
        <f>HYPERLINK("https://klasma.github.io/Logging_1864/tillsyn/A 24374-2026 tillsynsbegäran.docx", "A 24374-2026")</f>
        <v/>
      </c>
      <c r="AD17">
        <f>HYPERLINK("https://klasma.github.io/Logging_1864/tillsynsmail/A 24374-2026 tillsynsbegäran mail.docx", "A 24374-2026")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46280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46280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46280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46280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46280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46280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46280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46280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46280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46280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46280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46280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46280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46280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46280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46280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46280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46280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46280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46280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46280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46280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46280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46280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46280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25574-2023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45089</v>
      </c>
      <c r="E44" s="1" t="n">
        <v>46280</v>
      </c>
      <c r="F44" t="inlineStr">
        <is>
          <t>ÖREBRO LÄN</t>
        </is>
      </c>
      <c r="G44" t="inlineStr">
        <is>
          <t>LJUSNARSBERG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46280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46280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45583</v>
      </c>
      <c r="E47" s="1" t="n">
        <v>46280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45265</v>
      </c>
      <c r="E48" s="1" t="n">
        <v>46280</v>
      </c>
      <c r="F48" t="inlineStr">
        <is>
          <t>ÖREBRO LÄN</t>
        </is>
      </c>
      <c r="G48" t="inlineStr">
        <is>
          <t>LJUSNARSBERG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46280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46280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46280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46280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46280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46280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46280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44956</v>
      </c>
      <c r="E56" s="1" t="n">
        <v>46280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45106</v>
      </c>
      <c r="E57" s="1" t="n">
        <v>46280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46280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46280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67746-2021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46280</v>
      </c>
      <c r="F60" t="inlineStr">
        <is>
          <t>ÖREBRO LÄN</t>
        </is>
      </c>
      <c r="G60" t="inlineStr">
        <is>
          <t>LJUSNARSBERG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46013</v>
      </c>
      <c r="E61" s="1" t="n">
        <v>46280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45807</v>
      </c>
      <c r="E62" s="1" t="n">
        <v>46280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20673-2025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45776</v>
      </c>
      <c r="E63" s="1" t="n">
        <v>46280</v>
      </c>
      <c r="F63" t="inlineStr">
        <is>
          <t>ÖREBRO LÄN</t>
        </is>
      </c>
      <c r="G63" t="inlineStr">
        <is>
          <t>LJUSNARSBERG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46280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46280</v>
      </c>
      <c r="F65" t="inlineStr">
        <is>
          <t>ÖREBRO LÄN</t>
        </is>
      </c>
      <c r="G65" t="inlineStr">
        <is>
          <t>LJUSNARSBERG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46280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46280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46280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46280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46280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46280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46280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46280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46280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46280</v>
      </c>
      <c r="F75" t="inlineStr">
        <is>
          <t>ÖREBRO LÄN</t>
        </is>
      </c>
      <c r="G75" t="inlineStr">
        <is>
          <t>LJUSNARSBERG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46280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41420-2025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46280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46280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46280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46280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45826</v>
      </c>
      <c r="E81" s="1" t="n">
        <v>46280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46280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46280</v>
      </c>
      <c r="F83" t="inlineStr">
        <is>
          <t>ÖREBRO LÄN</t>
        </is>
      </c>
      <c r="G83" t="inlineStr">
        <is>
          <t>LJUSNARSBERG</t>
        </is>
      </c>
      <c r="I83" t="n">
        <v>17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46280</v>
      </c>
      <c r="F84" t="inlineStr">
        <is>
          <t>ÖREBRO LÄN</t>
        </is>
      </c>
      <c r="G84" t="inlineStr">
        <is>
          <t>LJUSNARSBERG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46280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46280</v>
      </c>
      <c r="F86" t="inlineStr">
        <is>
          <t>ÖREBRO LÄN</t>
        </is>
      </c>
      <c r="G86" t="inlineStr">
        <is>
          <t>LJUSNARSBERG</t>
        </is>
      </c>
      <c r="H86" t="inlineStr">
        <is>
          <t>Kyrkan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46280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46280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46280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46280</v>
      </c>
      <c r="F90" t="inlineStr">
        <is>
          <t>ÖREBRO LÄN</t>
        </is>
      </c>
      <c r="G90" t="inlineStr">
        <is>
          <t>LJUSNARSBERG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46280</v>
      </c>
      <c r="F91" t="inlineStr">
        <is>
          <t>ÖREBRO LÄN</t>
        </is>
      </c>
      <c r="G91" t="inlineStr">
        <is>
          <t>LJUSNARSBERG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46280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22887-2024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45448</v>
      </c>
      <c r="E93" s="1" t="n">
        <v>46280</v>
      </c>
      <c r="F93" t="inlineStr">
        <is>
          <t>ÖREBRO LÄN</t>
        </is>
      </c>
      <c r="G93" t="inlineStr">
        <is>
          <t>LJUSNARSBERG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46280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46280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46280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46280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46280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45659</v>
      </c>
      <c r="E99" s="1" t="n">
        <v>46280</v>
      </c>
      <c r="F99" t="inlineStr">
        <is>
          <t>ÖREBRO LÄN</t>
        </is>
      </c>
      <c r="G99" t="inlineStr">
        <is>
          <t>LJUSNARSBERG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46280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46280</v>
      </c>
      <c r="F101" t="inlineStr">
        <is>
          <t>ÖREBRO LÄN</t>
        </is>
      </c>
      <c r="G101" t="inlineStr">
        <is>
          <t>LJUSNARSBERG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45608</v>
      </c>
      <c r="E102" s="1" t="n">
        <v>46280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46280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50865-2025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45946</v>
      </c>
      <c r="E104" s="1" t="n">
        <v>46280</v>
      </c>
      <c r="F104" t="inlineStr">
        <is>
          <t>ÖREBRO LÄN</t>
        </is>
      </c>
      <c r="G104" t="inlineStr">
        <is>
          <t>LJUSNARSBERG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46280</v>
      </c>
      <c r="F105" t="inlineStr">
        <is>
          <t>ÖREBRO LÄN</t>
        </is>
      </c>
      <c r="G105" t="inlineStr">
        <is>
          <t>LJUSNARSBERG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46280</v>
      </c>
      <c r="F106" t="inlineStr">
        <is>
          <t>ÖREBRO LÄN</t>
        </is>
      </c>
      <c r="G106" t="inlineStr">
        <is>
          <t>LJUSNARSBERG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44720</v>
      </c>
      <c r="E107" s="1" t="n">
        <v>46280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46280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44858</v>
      </c>
      <c r="E109" s="1" t="n">
        <v>46280</v>
      </c>
      <c r="F109" t="inlineStr">
        <is>
          <t>ÖREBRO LÄN</t>
        </is>
      </c>
      <c r="G109" t="inlineStr">
        <is>
          <t>LJUSNARSBERG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57129-2021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46280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46280</v>
      </c>
      <c r="F111" t="inlineStr">
        <is>
          <t>ÖREBRO LÄN</t>
        </is>
      </c>
      <c r="G111" t="inlineStr">
        <is>
          <t>LJUSNARSBERG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45035</v>
      </c>
      <c r="E112" s="1" t="n">
        <v>46280</v>
      </c>
      <c r="F112" t="inlineStr">
        <is>
          <t>ÖREBRO LÄN</t>
        </is>
      </c>
      <c r="G112" t="inlineStr">
        <is>
          <t>LJUSNARSBERG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46280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46280</v>
      </c>
      <c r="F114" t="inlineStr">
        <is>
          <t>ÖREBRO LÄN</t>
        </is>
      </c>
      <c r="G114" t="inlineStr">
        <is>
          <t>LJUSNARSBERG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46280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46280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46280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36108-2024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46280</v>
      </c>
      <c r="F118" t="inlineStr">
        <is>
          <t>ÖREBRO LÄN</t>
        </is>
      </c>
      <c r="G118" t="inlineStr">
        <is>
          <t>LJUSNARSBERG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46280</v>
      </c>
      <c r="F119" t="inlineStr">
        <is>
          <t>ÖREBRO LÄN</t>
        </is>
      </c>
      <c r="G119" t="inlineStr">
        <is>
          <t>LJUSNARSBERG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46280</v>
      </c>
      <c r="F120" t="inlineStr">
        <is>
          <t>ÖREBRO LÄN</t>
        </is>
      </c>
      <c r="G120" t="inlineStr">
        <is>
          <t>LJUSNARSBERG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19936-2026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46136</v>
      </c>
      <c r="E121" s="1" t="n">
        <v>46280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46280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27343-2025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46280</v>
      </c>
      <c r="F123" t="inlineStr">
        <is>
          <t>ÖREBRO LÄN</t>
        </is>
      </c>
      <c r="G123" t="inlineStr">
        <is>
          <t>LJUSNARSBERG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46280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59497-2024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45638</v>
      </c>
      <c r="E125" s="1" t="n">
        <v>46280</v>
      </c>
      <c r="F125" t="inlineStr">
        <is>
          <t>ÖREBRO LÄN</t>
        </is>
      </c>
      <c r="G125" t="inlineStr">
        <is>
          <t>LJUSNARSBERG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45124</v>
      </c>
      <c r="E126" s="1" t="n">
        <v>46280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46280</v>
      </c>
      <c r="F127" t="inlineStr">
        <is>
          <t>ÖREBRO LÄN</t>
        </is>
      </c>
      <c r="G127" t="inlineStr">
        <is>
          <t>LJUSNARSBERG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46280</v>
      </c>
      <c r="F128" t="inlineStr">
        <is>
          <t>ÖREBRO LÄN</t>
        </is>
      </c>
      <c r="G128" t="inlineStr">
        <is>
          <t>LJUSNARSBERG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46280</v>
      </c>
      <c r="F129" t="inlineStr">
        <is>
          <t>ÖREBRO LÄN</t>
        </is>
      </c>
      <c r="G129" t="inlineStr">
        <is>
          <t>LJUSNARSBERG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45638</v>
      </c>
      <c r="E130" s="1" t="n">
        <v>46280</v>
      </c>
      <c r="F130" t="inlineStr">
        <is>
          <t>ÖREBRO LÄN</t>
        </is>
      </c>
      <c r="G130" t="inlineStr">
        <is>
          <t>LJUSNARSBERG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46280</v>
      </c>
      <c r="F131" t="inlineStr">
        <is>
          <t>ÖREBRO LÄN</t>
        </is>
      </c>
      <c r="G131" t="inlineStr">
        <is>
          <t>LJUSNARSBERG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46280</v>
      </c>
      <c r="F132" t="inlineStr">
        <is>
          <t>ÖREBRO LÄN</t>
        </is>
      </c>
      <c r="G132" t="inlineStr">
        <is>
          <t>LJUSNARSBERG</t>
        </is>
      </c>
      <c r="I132" t="n">
        <v>14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46280</v>
      </c>
      <c r="F133" t="inlineStr">
        <is>
          <t>ÖREBRO LÄN</t>
        </is>
      </c>
      <c r="G133" t="inlineStr">
        <is>
          <t>LJUSNARSBERG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46280</v>
      </c>
      <c r="F134" t="inlineStr">
        <is>
          <t>ÖREBRO LÄN</t>
        </is>
      </c>
      <c r="G134" t="inlineStr">
        <is>
          <t>LJUSNARSBERG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46280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46163</v>
      </c>
      <c r="E136" s="1" t="n">
        <v>46280</v>
      </c>
      <c r="F136" t="inlineStr">
        <is>
          <t>ÖREBRO LÄN</t>
        </is>
      </c>
      <c r="G136" t="inlineStr">
        <is>
          <t>LJUSNARSBERG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46280</v>
      </c>
      <c r="F137" t="inlineStr">
        <is>
          <t>ÖREBRO LÄN</t>
        </is>
      </c>
      <c r="G137" t="inlineStr">
        <is>
          <t>LJUSNARSBERG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46167</v>
      </c>
      <c r="E138" s="1" t="n">
        <v>46280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46280</v>
      </c>
      <c r="F139" t="inlineStr">
        <is>
          <t>ÖREBRO LÄN</t>
        </is>
      </c>
      <c r="G139" t="inlineStr">
        <is>
          <t>LJUSNARSBERG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46280</v>
      </c>
      <c r="F140" t="inlineStr">
        <is>
          <t>ÖREBRO LÄN</t>
        </is>
      </c>
      <c r="G140" t="inlineStr">
        <is>
          <t>LJUSNARSBERG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46280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46280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46280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46280</v>
      </c>
      <c r="F144" t="inlineStr">
        <is>
          <t>ÖREBRO LÄN</t>
        </is>
      </c>
      <c r="G144" t="inlineStr">
        <is>
          <t>LJUSNARSBERG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46280</v>
      </c>
      <c r="F145" t="inlineStr">
        <is>
          <t>ÖREBRO LÄN</t>
        </is>
      </c>
      <c r="G145" t="inlineStr">
        <is>
          <t>LJUSNARSBERG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46247</v>
      </c>
      <c r="E146" s="1" t="n">
        <v>46280</v>
      </c>
      <c r="F146" t="inlineStr">
        <is>
          <t>ÖREBRO LÄN</t>
        </is>
      </c>
      <c r="G146" t="inlineStr">
        <is>
          <t>LJUSNARSBERG</t>
        </is>
      </c>
      <c r="H146" t="inlineStr">
        <is>
          <t>Kyrkan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46251</v>
      </c>
      <c r="E147" s="1" t="n">
        <v>46280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45106</v>
      </c>
      <c r="E148" s="1" t="n">
        <v>46280</v>
      </c>
      <c r="F148" t="inlineStr">
        <is>
          <t>ÖREBRO LÄN</t>
        </is>
      </c>
      <c r="G148" t="inlineStr">
        <is>
          <t>LJUSNARSBERG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46280</v>
      </c>
      <c r="F149" t="inlineStr">
        <is>
          <t>ÖREBRO LÄN</t>
        </is>
      </c>
      <c r="G149" t="inlineStr">
        <is>
          <t>LJUSNARSBERG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46280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46280</v>
      </c>
      <c r="F151" t="inlineStr">
        <is>
          <t>ÖREBRO LÄN</t>
        </is>
      </c>
      <c r="G151" t="inlineStr">
        <is>
          <t>LJUSNARSBERG</t>
        </is>
      </c>
      <c r="H151" t="inlineStr">
        <is>
          <t>Sveaskog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46280</v>
      </c>
      <c r="F152" t="inlineStr">
        <is>
          <t>ÖREBRO LÄN</t>
        </is>
      </c>
      <c r="G152" t="inlineStr">
        <is>
          <t>LJUSNARSBERG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46280</v>
      </c>
      <c r="F153" t="inlineStr">
        <is>
          <t>ÖREBRO LÄN</t>
        </is>
      </c>
      <c r="G153" t="inlineStr">
        <is>
          <t>LJUSNARSBERG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46280</v>
      </c>
      <c r="F154" t="inlineStr">
        <is>
          <t>ÖREBRO LÄN</t>
        </is>
      </c>
      <c r="G154" t="inlineStr">
        <is>
          <t>LJUSNARSBERG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46272</v>
      </c>
      <c r="E155" s="1" t="n">
        <v>46280</v>
      </c>
      <c r="F155" t="inlineStr">
        <is>
          <t>ÖREBRO LÄN</t>
        </is>
      </c>
      <c r="G155" t="inlineStr">
        <is>
          <t>LJUSNARSBERG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46280</v>
      </c>
      <c r="F156" t="inlineStr">
        <is>
          <t>ÖREBRO LÄN</t>
        </is>
      </c>
      <c r="G156" t="inlineStr">
        <is>
          <t>LJUSNARSBERG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46280</v>
      </c>
      <c r="F157" t="inlineStr">
        <is>
          <t>ÖREBRO LÄN</t>
        </is>
      </c>
      <c r="G157" t="inlineStr">
        <is>
          <t>LJUSNARSBERG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46280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37866-2026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46279</v>
      </c>
      <c r="E159" s="1" t="n">
        <v>46280</v>
      </c>
      <c r="F159" t="inlineStr">
        <is>
          <t>ÖREBRO LÄN</t>
        </is>
      </c>
      <c r="G159" t="inlineStr">
        <is>
          <t>LJUSNARSBERG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46280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46280</v>
      </c>
      <c r="F161" t="inlineStr">
        <is>
          <t>ÖREBRO LÄN</t>
        </is>
      </c>
      <c r="G161" t="inlineStr">
        <is>
          <t>LJUSNARSBERG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46280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14500-2024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45394</v>
      </c>
      <c r="E163" s="1" t="n">
        <v>46280</v>
      </c>
      <c r="F163" t="inlineStr">
        <is>
          <t>ÖREBRO LÄN</t>
        </is>
      </c>
      <c r="G163" t="inlineStr">
        <is>
          <t>LJUSNARSBERG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46280</v>
      </c>
      <c r="F164" t="inlineStr">
        <is>
          <t>ÖREBRO LÄN</t>
        </is>
      </c>
      <c r="G164" t="inlineStr">
        <is>
          <t>LJUSNARSBERG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44690</v>
      </c>
      <c r="E165" s="1" t="n">
        <v>46280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46280</v>
      </c>
      <c r="F166" t="inlineStr">
        <is>
          <t>ÖREBRO LÄN</t>
        </is>
      </c>
      <c r="G166" t="inlineStr">
        <is>
          <t>LJUSNARSBERG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46280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46280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44874</v>
      </c>
      <c r="E169" s="1" t="n">
        <v>46280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45124</v>
      </c>
      <c r="E170" s="1" t="n">
        <v>46280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18932-2022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44690</v>
      </c>
      <c r="E171" s="1" t="n">
        <v>46280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46280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46280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45347</v>
      </c>
      <c r="E174" s="1" t="n">
        <v>46280</v>
      </c>
      <c r="F174" t="inlineStr">
        <is>
          <t>ÖREBRO LÄN</t>
        </is>
      </c>
      <c r="G174" t="inlineStr">
        <is>
          <t>LJUSNARSBERG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45030</v>
      </c>
      <c r="E175" s="1" t="n">
        <v>46280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46280</v>
      </c>
      <c r="F176" t="inlineStr">
        <is>
          <t>ÖREBRO LÄN</t>
        </is>
      </c>
      <c r="G176" t="inlineStr">
        <is>
          <t>LJUSNARSBERG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44720</v>
      </c>
      <c r="E177" s="1" t="n">
        <v>46280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46280</v>
      </c>
      <c r="F178" t="inlineStr">
        <is>
          <t>ÖREBRO LÄN</t>
        </is>
      </c>
      <c r="G178" t="inlineStr">
        <is>
          <t>LJUSNARSBERG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44468</v>
      </c>
      <c r="E179" s="1" t="n">
        <v>46280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44607</v>
      </c>
      <c r="E180" s="1" t="n">
        <v>46280</v>
      </c>
      <c r="F180" t="inlineStr">
        <is>
          <t>ÖREBRO LÄN</t>
        </is>
      </c>
      <c r="G180" t="inlineStr">
        <is>
          <t>LJUSNARSBERG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46280</v>
      </c>
      <c r="F181" t="inlineStr">
        <is>
          <t>ÖREBRO LÄN</t>
        </is>
      </c>
      <c r="G181" t="inlineStr">
        <is>
          <t>LJUSNARSBERG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46280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46280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46280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44694</v>
      </c>
      <c r="E185" s="1" t="n">
        <v>46280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46280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46280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45478</v>
      </c>
      <c r="E188" s="1" t="n">
        <v>46280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45593</v>
      </c>
      <c r="E189" s="1" t="n">
        <v>46280</v>
      </c>
      <c r="F189" t="inlineStr">
        <is>
          <t>ÖREBRO LÄN</t>
        </is>
      </c>
      <c r="G189" t="inlineStr">
        <is>
          <t>LJUSNARSBERG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46280</v>
      </c>
      <c r="F190" t="inlineStr">
        <is>
          <t>ÖREBRO LÄN</t>
        </is>
      </c>
      <c r="G190" t="inlineStr">
        <is>
          <t>LJUSNARSBERG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46280</v>
      </c>
      <c r="F191" t="inlineStr">
        <is>
          <t>ÖREBRO LÄN</t>
        </is>
      </c>
      <c r="G191" t="inlineStr">
        <is>
          <t>LJUSNARSBERG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46280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45142</v>
      </c>
      <c r="E193" s="1" t="n">
        <v>46280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880-2024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45376</v>
      </c>
      <c r="E194" s="1" t="n">
        <v>46280</v>
      </c>
      <c r="F194" t="inlineStr">
        <is>
          <t>ÖREBRO LÄN</t>
        </is>
      </c>
      <c r="G194" t="inlineStr">
        <is>
          <t>LJUSNARSBERG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3541-2022</t>
        </is>
      </c>
      <c r="B195" t="inlineStr">
        <is>
          <t>samrådsanmälan</t>
        </is>
      </c>
      <c r="C195" t="inlineStr">
        <is>
          <t>Skogsbilväg</t>
        </is>
      </c>
      <c r="D195" s="1" t="n">
        <v>44734</v>
      </c>
      <c r="E195" s="1" t="n">
        <v>46280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10473-2021</t>
        </is>
      </c>
      <c r="B196" t="inlineStr">
        <is>
          <t>samrådsanmälan</t>
        </is>
      </c>
      <c r="C196" t="inlineStr">
        <is>
          <t>Skogsbilväg</t>
        </is>
      </c>
      <c r="D196" s="1" t="n">
        <v>44559</v>
      </c>
      <c r="E196" s="1" t="n">
        <v>46280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3528-2023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45205</v>
      </c>
      <c r="E197" s="1" t="n">
        <v>46280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7278-2021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44467</v>
      </c>
      <c r="E198" s="1" t="n">
        <v>46280</v>
      </c>
      <c r="F198" t="inlineStr">
        <is>
          <t>ÖREBRO LÄN</t>
        </is>
      </c>
      <c r="G198" t="inlineStr">
        <is>
          <t>LJUSNARSBERG</t>
        </is>
      </c>
      <c r="H198" t="inlineStr">
        <is>
          <t>Kommuner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410-2022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44585</v>
      </c>
      <c r="E199" s="1" t="n">
        <v>46280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4521-2023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45275</v>
      </c>
      <c r="E200" s="1" t="n">
        <v>46280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1099-2022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44615</v>
      </c>
      <c r="E201" s="1" t="n">
        <v>46280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147.4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7277-2021</t>
        </is>
      </c>
      <c r="B202" t="inlineStr">
        <is>
          <t>samrådsanmälan</t>
        </is>
      </c>
      <c r="C202" t="inlineStr">
        <is>
          <t>Åtgärd i nyckelbiotop</t>
        </is>
      </c>
      <c r="D202" s="1" t="n">
        <v>44467</v>
      </c>
      <c r="E202" s="1" t="n">
        <v>46280</v>
      </c>
      <c r="F202" t="inlineStr">
        <is>
          <t>ÖREBRO LÄN</t>
        </is>
      </c>
      <c r="G202" t="inlineStr">
        <is>
          <t>LJUSNARSBERG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2836-2023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45167</v>
      </c>
      <c r="E203" s="1" t="n">
        <v>46280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707-2025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45720</v>
      </c>
      <c r="E204" s="1" t="n">
        <v>46280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1972-2025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45832</v>
      </c>
      <c r="E205" s="1" t="n">
        <v>46280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3578-2025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46010</v>
      </c>
      <c r="E206" s="1" t="n">
        <v>46280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603-2026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46085</v>
      </c>
      <c r="E207" s="1" t="n">
        <v>46280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125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1743-2026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46185</v>
      </c>
      <c r="E208" s="1" t="n">
        <v>46280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1624-2026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46174</v>
      </c>
      <c r="E209" s="1" t="n">
        <v>46280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2026-09-15T08:11:10Z</dcterms:created>
  <dcterms:modified xmlns:dcterms="http://purl.org/dc/terms/" xmlns:xsi="http://www.w3.org/2001/XMLSchema-instance" xsi:type="dcterms:W3CDTF">2026-09-15T08:11:10Z</dcterms:modified>
</cp:coreProperties>
</file>