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46300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46300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46300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46300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46300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46300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46300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46300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46300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46300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46300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46300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46300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46300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46300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24374-2026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46300</v>
      </c>
      <c r="F17" t="inlineStr">
        <is>
          <t>ÖREBRO LÄN</t>
        </is>
      </c>
      <c r="G17" t="inlineStr">
        <is>
          <t>LJUSNARSBERG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Vågbandad barkbock
Fläcknycklar</t>
        </is>
      </c>
      <c r="W17">
        <f>HYPERLINK("https://klasma.github.io/Logging_1864/artfynd/A 24374-2026 artfynd.xlsx", "A 24374-2026")</f>
        <v/>
      </c>
      <c r="X17">
        <f>HYPERLINK("https://klasma.github.io/Logging_1864/kartor/A 24374-2026 karta.png", "A 24374-2026")</f>
        <v/>
      </c>
      <c r="Y17">
        <f>HYPERLINK("https://klasma.github.io/Logging_1864/kartor_geotiff/A 24374-2026 georefererad karta.tif", "A 24374-2026")</f>
        <v/>
      </c>
      <c r="AA17">
        <f>HYPERLINK("https://klasma.github.io/Logging_1864/klagomål/A 24374-2026 FSC-klagomål.docx", "A 24374-2026")</f>
        <v/>
      </c>
      <c r="AB17">
        <f>HYPERLINK("https://klasma.github.io/Logging_1864/klagomålsmail/A 24374-2026 FSC-klagomål mail.docx", "A 24374-2026")</f>
        <v/>
      </c>
      <c r="AC17">
        <f>HYPERLINK("https://klasma.github.io/Logging_1864/tillsyn/A 24374-2026 tillsynsbegäran.docx", "A 24374-2026")</f>
        <v/>
      </c>
      <c r="AD17">
        <f>HYPERLINK("https://klasma.github.io/Logging_1864/tillsynsmail/A 24374-2026 tillsynsbegäran mail.docx", "A 24374-2026")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46300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46300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46300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46300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46300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46300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19940-2026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46136</v>
      </c>
      <c r="E24" s="1" t="n">
        <v>46300</v>
      </c>
      <c r="F24" t="inlineStr">
        <is>
          <t>ÖREBRO LÄN</t>
        </is>
      </c>
      <c r="G24" t="inlineStr">
        <is>
          <t>LJUSNARSBERG</t>
        </is>
      </c>
      <c r="H24" t="inlineStr">
        <is>
          <t>Sveaskog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HYPERLINK("https://klasma.github.io/Logging_1864/artfynd/A 19940-2026 artfynd.xlsx", "A 19940-2026")</f>
        <v/>
      </c>
      <c r="X24">
        <f>HYPERLINK("https://klasma.github.io/Logging_1864/kartor/A 19940-2026 karta.png", "A 19940-2026")</f>
        <v/>
      </c>
      <c r="Y24">
        <f>HYPERLINK("https://klasma.github.io/Logging_1864/kartor_geotiff/A 19940-2026 georefererad karta.tif", "A 19940-2026")</f>
        <v/>
      </c>
      <c r="AA24">
        <f>HYPERLINK("https://klasma.github.io/Logging_1864/klagomål/A 19940-2026 FSC-klagomål.docx", "A 19940-2026")</f>
        <v/>
      </c>
      <c r="AB24">
        <f>HYPERLINK("https://klasma.github.io/Logging_1864/klagomålsmail/A 19940-2026 FSC-klagomål mail.docx", "A 19940-2026")</f>
        <v/>
      </c>
      <c r="AC24">
        <f>HYPERLINK("https://klasma.github.io/Logging_1864/tillsyn/A 19940-2026 tillsynsbegäran.docx", "A 19940-2026")</f>
        <v/>
      </c>
      <c r="AD24">
        <f>HYPERLINK("https://klasma.github.io/Logging_1864/tillsynsmail/A 19940-2026 tillsynsbegäran mail.docx", "A 19940-2026")</f>
        <v/>
      </c>
    </row>
    <row r="25" ht="15" customHeight="1">
      <c r="A25" t="inlineStr">
        <is>
          <t>A 45537-2024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45578</v>
      </c>
      <c r="E25" s="1" t="n">
        <v>46300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HYPERLINK("https://klasma.github.io/Logging_1864/artfynd/A 45537-2024 artfynd.xlsx", "A 45537-2024")</f>
        <v/>
      </c>
      <c r="X25">
        <f>HYPERLINK("https://klasma.github.io/Logging_1864/kartor/A 45537-2024 karta.png", "A 45537-2024")</f>
        <v/>
      </c>
      <c r="Y25">
        <f>HYPERLINK("https://klasma.github.io/Logging_1864/kartor_geotiff/A 45537-2024 georefererad karta.tif", "A 45537-2024")</f>
        <v/>
      </c>
      <c r="AA25">
        <f>HYPERLINK("https://klasma.github.io/Logging_1864/klagomål/A 45537-2024 FSC-klagomål.docx", "A 45537-2024")</f>
        <v/>
      </c>
      <c r="AB25">
        <f>HYPERLINK("https://klasma.github.io/Logging_1864/klagomålsmail/A 45537-2024 FSC-klagomål mail.docx", "A 45537-2024")</f>
        <v/>
      </c>
      <c r="AC25">
        <f>HYPERLINK("https://klasma.github.io/Logging_1864/tillsyn/A 45537-2024 tillsynsbegäran.docx", "A 45537-2024")</f>
        <v/>
      </c>
      <c r="AD25">
        <f>HYPERLINK("https://klasma.github.io/Logging_1864/tillsynsmail/A 45537-2024 tillsynsbegäran mail.docx", "A 45537-2024")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46300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46300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46300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46300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46300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46300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46300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46300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46300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46300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46300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46300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46300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46300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46300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46300</v>
      </c>
      <c r="F41" t="inlineStr">
        <is>
          <t>ÖREBRO LÄN</t>
        </is>
      </c>
      <c r="G41" t="inlineStr">
        <is>
          <t>LJUSNARSBERG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46300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46300</v>
      </c>
      <c r="F43" t="inlineStr">
        <is>
          <t>ÖREBRO LÄN</t>
        </is>
      </c>
      <c r="G43" t="inlineStr">
        <is>
          <t>LJUSNARSBERG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46300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25574-2023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45089</v>
      </c>
      <c r="E45" s="1" t="n">
        <v>46300</v>
      </c>
      <c r="F45" t="inlineStr">
        <is>
          <t>ÖREBRO LÄN</t>
        </is>
      </c>
      <c r="G45" t="inlineStr">
        <is>
          <t>LJUSNARSBERG</t>
        </is>
      </c>
      <c r="H45" t="inlineStr">
        <is>
          <t>Sveaskog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46300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61580-2023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45265</v>
      </c>
      <c r="E47" s="1" t="n">
        <v>46300</v>
      </c>
      <c r="F47" t="inlineStr">
        <is>
          <t>ÖREBRO LÄN</t>
        </is>
      </c>
      <c r="G47" t="inlineStr">
        <is>
          <t>LJUSNARSBERG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46300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46300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46300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46300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46300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46300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46300</v>
      </c>
      <c r="F54" t="inlineStr">
        <is>
          <t>ÖREBRO LÄN</t>
        </is>
      </c>
      <c r="G54" t="inlineStr">
        <is>
          <t>LJUSNARSBERG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46300</v>
      </c>
      <c r="F55" t="inlineStr">
        <is>
          <t>ÖREBRO LÄN</t>
        </is>
      </c>
      <c r="G55" t="inlineStr">
        <is>
          <t>LJUSNARSBERG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61579-2025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46002</v>
      </c>
      <c r="E56" s="1" t="n">
        <v>46300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44999</v>
      </c>
      <c r="E57" s="1" t="n">
        <v>46300</v>
      </c>
      <c r="F57" t="inlineStr">
        <is>
          <t>ÖREBRO LÄN</t>
        </is>
      </c>
      <c r="G57" t="inlineStr">
        <is>
          <t>LJUSNARSBERG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45593</v>
      </c>
      <c r="E58" s="1" t="n">
        <v>46300</v>
      </c>
      <c r="F58" t="inlineStr">
        <is>
          <t>ÖREBRO LÄN</t>
        </is>
      </c>
      <c r="G58" t="inlineStr">
        <is>
          <t>LJUSNARSBERG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46300</v>
      </c>
      <c r="F59" t="inlineStr">
        <is>
          <t>ÖREBRO LÄN</t>
        </is>
      </c>
      <c r="G59" t="inlineStr">
        <is>
          <t>LJUSNARSBERG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46013</v>
      </c>
      <c r="E60" s="1" t="n">
        <v>46300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6313-2025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46300</v>
      </c>
      <c r="F61" t="inlineStr">
        <is>
          <t>ÖREBRO LÄN</t>
        </is>
      </c>
      <c r="G61" t="inlineStr">
        <is>
          <t>LJUSNARSBERG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67746-2021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46300</v>
      </c>
      <c r="F62" t="inlineStr">
        <is>
          <t>ÖREBRO LÄN</t>
        </is>
      </c>
      <c r="G62" t="inlineStr">
        <is>
          <t>LJUSNARSBERG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13389-2024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46300</v>
      </c>
      <c r="F63" t="inlineStr">
        <is>
          <t>ÖREBRO LÄN</t>
        </is>
      </c>
      <c r="G63" t="inlineStr">
        <is>
          <t>LJUSNARSBERG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46300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46300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10.8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46300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45142</v>
      </c>
      <c r="E67" s="1" t="n">
        <v>46300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46300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46300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46300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46300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46300</v>
      </c>
      <c r="F72" t="inlineStr">
        <is>
          <t>ÖREBRO LÄN</t>
        </is>
      </c>
      <c r="G72" t="inlineStr">
        <is>
          <t>LJUSNARSBERG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46300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46300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33974-2023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45124</v>
      </c>
      <c r="E75" s="1" t="n">
        <v>46300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46300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59627-2024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45638</v>
      </c>
      <c r="E77" s="1" t="n">
        <v>46300</v>
      </c>
      <c r="F77" t="inlineStr">
        <is>
          <t>ÖREBRO LÄN</t>
        </is>
      </c>
      <c r="G77" t="inlineStr">
        <is>
          <t>LJUSNARSBERG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46300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46300</v>
      </c>
      <c r="F79" t="inlineStr">
        <is>
          <t>ÖREBRO LÄN</t>
        </is>
      </c>
      <c r="G79" t="inlineStr">
        <is>
          <t>LJUSNARSBERG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42287-2025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46300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45909</v>
      </c>
      <c r="E81" s="1" t="n">
        <v>46300</v>
      </c>
      <c r="F81" t="inlineStr">
        <is>
          <t>ÖREBRO LÄN</t>
        </is>
      </c>
      <c r="G81" t="inlineStr">
        <is>
          <t>LJUSNARSBERG</t>
        </is>
      </c>
      <c r="I81" t="n">
        <v>17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44956</v>
      </c>
      <c r="E82" s="1" t="n">
        <v>46300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45106</v>
      </c>
      <c r="E83" s="1" t="n">
        <v>46300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46300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45807</v>
      </c>
      <c r="E85" s="1" t="n">
        <v>46300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46300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46300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45463</v>
      </c>
      <c r="E88" s="1" t="n">
        <v>46300</v>
      </c>
      <c r="F88" t="inlineStr">
        <is>
          <t>ÖREBRO LÄN</t>
        </is>
      </c>
      <c r="G88" t="inlineStr">
        <is>
          <t>LJUSNARSBERG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20673-2025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45776</v>
      </c>
      <c r="E89" s="1" t="n">
        <v>46300</v>
      </c>
      <c r="F89" t="inlineStr">
        <is>
          <t>ÖREBRO LÄN</t>
        </is>
      </c>
      <c r="G89" t="inlineStr">
        <is>
          <t>LJUSNARSBERG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46300</v>
      </c>
      <c r="F90" t="inlineStr">
        <is>
          <t>ÖREBRO LÄN</t>
        </is>
      </c>
      <c r="G90" t="inlineStr">
        <is>
          <t>LJUSNARSBERG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37148-2023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46300</v>
      </c>
      <c r="F91" t="inlineStr">
        <is>
          <t>ÖREBRO LÄN</t>
        </is>
      </c>
      <c r="G91" t="inlineStr">
        <is>
          <t>LJUSNARSBERG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46300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46300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46300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46300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22887-2024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45448</v>
      </c>
      <c r="E96" s="1" t="n">
        <v>46300</v>
      </c>
      <c r="F96" t="inlineStr">
        <is>
          <t>ÖREBRO LÄN</t>
        </is>
      </c>
      <c r="G96" t="inlineStr">
        <is>
          <t>LJUSNARSBERG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45575</v>
      </c>
      <c r="E97" s="1" t="n">
        <v>46300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50865-2025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45946</v>
      </c>
      <c r="E98" s="1" t="n">
        <v>46300</v>
      </c>
      <c r="F98" t="inlineStr">
        <is>
          <t>ÖREBRO LÄN</t>
        </is>
      </c>
      <c r="G98" t="inlineStr">
        <is>
          <t>LJUSNARSBERG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46300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45951</v>
      </c>
      <c r="E100" s="1" t="n">
        <v>46300</v>
      </c>
      <c r="F100" t="inlineStr">
        <is>
          <t>ÖREBRO LÄN</t>
        </is>
      </c>
      <c r="G100" t="inlineStr">
        <is>
          <t>LJUSNARSBERG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46300</v>
      </c>
      <c r="F101" t="inlineStr">
        <is>
          <t>ÖREBRO LÄN</t>
        </is>
      </c>
      <c r="G101" t="inlineStr">
        <is>
          <t>LJUSNARSBERG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46300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45086</v>
      </c>
      <c r="E103" s="1" t="n">
        <v>46300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46300</v>
      </c>
      <c r="F104" t="inlineStr">
        <is>
          <t>ÖREBRO LÄN</t>
        </is>
      </c>
      <c r="G104" t="inlineStr">
        <is>
          <t>LJUSNARSBERG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57129-2021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44482</v>
      </c>
      <c r="E105" s="1" t="n">
        <v>46300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46300</v>
      </c>
      <c r="F106" t="inlineStr">
        <is>
          <t>ÖREBRO LÄN</t>
        </is>
      </c>
      <c r="G106" t="inlineStr">
        <is>
          <t>LJUSNARSBERG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46300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46300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45035</v>
      </c>
      <c r="E109" s="1" t="n">
        <v>46300</v>
      </c>
      <c r="F109" t="inlineStr">
        <is>
          <t>ÖREBRO LÄN</t>
        </is>
      </c>
      <c r="G109" t="inlineStr">
        <is>
          <t>LJUSNARSBERG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46300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46300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46300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46300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46300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45085</v>
      </c>
      <c r="E115" s="1" t="n">
        <v>46300</v>
      </c>
      <c r="F115" t="inlineStr">
        <is>
          <t>ÖREBRO LÄN</t>
        </is>
      </c>
      <c r="G115" t="inlineStr">
        <is>
          <t>LJUSNARSBERG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46300</v>
      </c>
      <c r="F116" t="inlineStr">
        <is>
          <t>ÖREBRO LÄN</t>
        </is>
      </c>
      <c r="G116" t="inlineStr">
        <is>
          <t>LJUSNARSBERG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19937-2026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46136</v>
      </c>
      <c r="E117" s="1" t="n">
        <v>46300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33622-2025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46300</v>
      </c>
      <c r="F118" t="inlineStr">
        <is>
          <t>ÖREBRO LÄN</t>
        </is>
      </c>
      <c r="G118" t="inlineStr">
        <is>
          <t>LJUSNARSBERG</t>
        </is>
      </c>
      <c r="H118" t="inlineStr">
        <is>
          <t>Kyrkan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46300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36108-2024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45533</v>
      </c>
      <c r="E120" s="1" t="n">
        <v>46300</v>
      </c>
      <c r="F120" t="inlineStr">
        <is>
          <t>ÖREBRO LÄN</t>
        </is>
      </c>
      <c r="G120" t="inlineStr">
        <is>
          <t>LJUSNARSBERG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59497-2024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45638</v>
      </c>
      <c r="E121" s="1" t="n">
        <v>46300</v>
      </c>
      <c r="F121" t="inlineStr">
        <is>
          <t>ÖREBRO LÄN</t>
        </is>
      </c>
      <c r="G121" t="inlineStr">
        <is>
          <t>LJUSNARSBERG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33979-2023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45124</v>
      </c>
      <c r="E122" s="1" t="n">
        <v>46300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46300</v>
      </c>
      <c r="F123" t="inlineStr">
        <is>
          <t>ÖREBRO LÄN</t>
        </is>
      </c>
      <c r="G123" t="inlineStr">
        <is>
          <t>LJUSNARSBERG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46300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27343-2025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45812</v>
      </c>
      <c r="E125" s="1" t="n">
        <v>46300</v>
      </c>
      <c r="F125" t="inlineStr">
        <is>
          <t>ÖREBRO LÄN</t>
        </is>
      </c>
      <c r="G125" t="inlineStr">
        <is>
          <t>LJUSNARSBERG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44739</v>
      </c>
      <c r="E126" s="1" t="n">
        <v>46300</v>
      </c>
      <c r="F126" t="inlineStr">
        <is>
          <t>ÖREBRO LÄN</t>
        </is>
      </c>
      <c r="G126" t="inlineStr">
        <is>
          <t>LJUSNARSBERG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59495-2024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46300</v>
      </c>
      <c r="F127" t="inlineStr">
        <is>
          <t>ÖREBRO LÄN</t>
        </is>
      </c>
      <c r="G127" t="inlineStr">
        <is>
          <t>LJUSNARSBERG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46300</v>
      </c>
      <c r="F128" t="inlineStr">
        <is>
          <t>ÖREBRO LÄN</t>
        </is>
      </c>
      <c r="G128" t="inlineStr">
        <is>
          <t>LJUSNARSBERG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44847</v>
      </c>
      <c r="E129" s="1" t="n">
        <v>46300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44880</v>
      </c>
      <c r="E130" s="1" t="n">
        <v>46300</v>
      </c>
      <c r="F130" t="inlineStr">
        <is>
          <t>ÖREBRO LÄN</t>
        </is>
      </c>
      <c r="G130" t="inlineStr">
        <is>
          <t>LJUSNARSBERG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46300</v>
      </c>
      <c r="F131" t="inlineStr">
        <is>
          <t>ÖREBRO LÄN</t>
        </is>
      </c>
      <c r="G131" t="inlineStr">
        <is>
          <t>LJUSNARSBERG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46300</v>
      </c>
      <c r="F132" t="inlineStr">
        <is>
          <t>ÖREBRO LÄN</t>
        </is>
      </c>
      <c r="G132" t="inlineStr">
        <is>
          <t>LJUSNARSBERG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44565</v>
      </c>
      <c r="E133" s="1" t="n">
        <v>46300</v>
      </c>
      <c r="F133" t="inlineStr">
        <is>
          <t>ÖREBRO LÄN</t>
        </is>
      </c>
      <c r="G133" t="inlineStr">
        <is>
          <t>LJUSNARSBERG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46300</v>
      </c>
      <c r="F134" t="inlineStr">
        <is>
          <t>ÖREBRO LÄN</t>
        </is>
      </c>
      <c r="G134" t="inlineStr">
        <is>
          <t>LJUSNARSBERG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46300</v>
      </c>
      <c r="F135" t="inlineStr">
        <is>
          <t>ÖREBRO LÄN</t>
        </is>
      </c>
      <c r="G135" t="inlineStr">
        <is>
          <t>LJUSNARSBERG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46154</v>
      </c>
      <c r="E136" s="1" t="n">
        <v>46300</v>
      </c>
      <c r="F136" t="inlineStr">
        <is>
          <t>ÖREBRO LÄN</t>
        </is>
      </c>
      <c r="G136" t="inlineStr">
        <is>
          <t>LJUSNARSBERG</t>
        </is>
      </c>
      <c r="I136" t="n">
        <v>14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46300</v>
      </c>
      <c r="F137" t="inlineStr">
        <is>
          <t>ÖREBRO LÄN</t>
        </is>
      </c>
      <c r="G137" t="inlineStr">
        <is>
          <t>LJUSNARSBERG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46300</v>
      </c>
      <c r="F138" t="inlineStr">
        <is>
          <t>ÖREBRO LÄN</t>
        </is>
      </c>
      <c r="G138" t="inlineStr">
        <is>
          <t>LJUSNARSBERG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53595-2024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46300</v>
      </c>
      <c r="F139" t="inlineStr">
        <is>
          <t>ÖREBRO LÄN</t>
        </is>
      </c>
      <c r="G139" t="inlineStr">
        <is>
          <t>LJUSNARSBERG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46300</v>
      </c>
      <c r="F140" t="inlineStr">
        <is>
          <t>ÖREBRO LÄN</t>
        </is>
      </c>
      <c r="G140" t="inlineStr">
        <is>
          <t>LJUSNARSBERG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46300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46300</v>
      </c>
      <c r="F142" t="inlineStr">
        <is>
          <t>ÖREBRO LÄN</t>
        </is>
      </c>
      <c r="G142" t="inlineStr">
        <is>
          <t>LJUSNARSBERG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46300</v>
      </c>
      <c r="F143" t="inlineStr">
        <is>
          <t>ÖREBRO LÄN</t>
        </is>
      </c>
      <c r="G143" t="inlineStr">
        <is>
          <t>LJUSNARSBERG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24343-2026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46300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46167</v>
      </c>
      <c r="E145" s="1" t="n">
        <v>46300</v>
      </c>
      <c r="F145" t="inlineStr">
        <is>
          <t>ÖREBRO LÄN</t>
        </is>
      </c>
      <c r="G145" t="inlineStr">
        <is>
          <t>LJUSNARSBERG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46300</v>
      </c>
      <c r="F146" t="inlineStr">
        <is>
          <t>ÖREBRO LÄN</t>
        </is>
      </c>
      <c r="G146" t="inlineStr">
        <is>
          <t>LJUSNARSBERG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45217</v>
      </c>
      <c r="E147" s="1" t="n">
        <v>46300</v>
      </c>
      <c r="F147" t="inlineStr">
        <is>
          <t>ÖREBRO LÄN</t>
        </is>
      </c>
      <c r="G147" t="inlineStr">
        <is>
          <t>LJUSNARSBERG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45574</v>
      </c>
      <c r="E148" s="1" t="n">
        <v>46300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46183</v>
      </c>
      <c r="E149" s="1" t="n">
        <v>46300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26847-2026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46185</v>
      </c>
      <c r="E150" s="1" t="n">
        <v>46300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62667-2022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44917</v>
      </c>
      <c r="E151" s="1" t="n">
        <v>46300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44999</v>
      </c>
      <c r="E152" s="1" t="n">
        <v>46300</v>
      </c>
      <c r="F152" t="inlineStr">
        <is>
          <t>ÖREBRO LÄN</t>
        </is>
      </c>
      <c r="G152" t="inlineStr">
        <is>
          <t>LJUSNARSBERG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46300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45394</v>
      </c>
      <c r="E154" s="1" t="n">
        <v>46300</v>
      </c>
      <c r="F154" t="inlineStr">
        <is>
          <t>ÖREBRO LÄN</t>
        </is>
      </c>
      <c r="G154" t="inlineStr">
        <is>
          <t>LJUSNARSBERG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45239</v>
      </c>
      <c r="E155" s="1" t="n">
        <v>46300</v>
      </c>
      <c r="F155" t="inlineStr">
        <is>
          <t>ÖREBRO LÄN</t>
        </is>
      </c>
      <c r="G155" t="inlineStr">
        <is>
          <t>LJUSNARSBERG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44690</v>
      </c>
      <c r="E156" s="1" t="n">
        <v>46300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44903</v>
      </c>
      <c r="E157" s="1" t="n">
        <v>46300</v>
      </c>
      <c r="F157" t="inlineStr">
        <is>
          <t>ÖREBRO LÄN</t>
        </is>
      </c>
      <c r="G157" t="inlineStr">
        <is>
          <t>LJUSNARSBERG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45578</v>
      </c>
      <c r="E158" s="1" t="n">
        <v>46300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46300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46300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45124</v>
      </c>
      <c r="E161" s="1" t="n">
        <v>46300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46300</v>
      </c>
      <c r="F162" t="inlineStr">
        <is>
          <t>ÖREBRO LÄN</t>
        </is>
      </c>
      <c r="G162" t="inlineStr">
        <is>
          <t>LJUSNARSBERG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46167</v>
      </c>
      <c r="E163" s="1" t="n">
        <v>46300</v>
      </c>
      <c r="F163" t="inlineStr">
        <is>
          <t>ÖREBRO LÄN</t>
        </is>
      </c>
      <c r="G163" t="inlineStr">
        <is>
          <t>LJUSNARSBERG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46300</v>
      </c>
      <c r="F164" t="inlineStr">
        <is>
          <t>ÖREBRO LÄN</t>
        </is>
      </c>
      <c r="G164" t="inlineStr">
        <is>
          <t>LJUSNARSBERG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46300</v>
      </c>
      <c r="F165" t="inlineStr">
        <is>
          <t>ÖREBRO LÄN</t>
        </is>
      </c>
      <c r="G165" t="inlineStr">
        <is>
          <t>LJUSNARSBERG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46300</v>
      </c>
      <c r="F166" t="inlineStr">
        <is>
          <t>ÖREBRO LÄN</t>
        </is>
      </c>
      <c r="G166" t="inlineStr">
        <is>
          <t>LJUSNARSBERG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37866-2026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46279</v>
      </c>
      <c r="E167" s="1" t="n">
        <v>46300</v>
      </c>
      <c r="F167" t="inlineStr">
        <is>
          <t>ÖREBRO LÄN</t>
        </is>
      </c>
      <c r="G167" t="inlineStr">
        <is>
          <t>LJUSNARSBERG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38269-2026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46281</v>
      </c>
      <c r="E168" s="1" t="n">
        <v>46300</v>
      </c>
      <c r="F168" t="inlineStr">
        <is>
          <t>ÖREBRO LÄN</t>
        </is>
      </c>
      <c r="G168" t="inlineStr">
        <is>
          <t>LJUSNARSBERG</t>
        </is>
      </c>
      <c r="H168" t="inlineStr">
        <is>
          <t>Kyrkan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46282</v>
      </c>
      <c r="E169" s="1" t="n">
        <v>46300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44690</v>
      </c>
      <c r="E170" s="1" t="n">
        <v>46300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46300</v>
      </c>
      <c r="F171" t="inlineStr">
        <is>
          <t>ÖREBRO LÄN</t>
        </is>
      </c>
      <c r="G171" t="inlineStr">
        <is>
          <t>LJUSNARSBERG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46300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46300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46247</v>
      </c>
      <c r="E174" s="1" t="n">
        <v>46300</v>
      </c>
      <c r="F174" t="inlineStr">
        <is>
          <t>ÖREBRO LÄN</t>
        </is>
      </c>
      <c r="G174" t="inlineStr">
        <is>
          <t>LJUSNARSBERG</t>
        </is>
      </c>
      <c r="H174" t="inlineStr">
        <is>
          <t>Kyrkan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46290</v>
      </c>
      <c r="E175" s="1" t="n">
        <v>46300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45347</v>
      </c>
      <c r="E176" s="1" t="n">
        <v>46300</v>
      </c>
      <c r="F176" t="inlineStr">
        <is>
          <t>ÖREBRO LÄN</t>
        </is>
      </c>
      <c r="G176" t="inlineStr">
        <is>
          <t>LJUSNARSBERG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46294</v>
      </c>
      <c r="E177" s="1" t="n">
        <v>46300</v>
      </c>
      <c r="F177" t="inlineStr">
        <is>
          <t>ÖREBRO LÄN</t>
        </is>
      </c>
      <c r="G177" t="inlineStr">
        <is>
          <t>LJUSNARSBERG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46300</v>
      </c>
      <c r="F178" t="inlineStr">
        <is>
          <t>ÖREBRO LÄN</t>
        </is>
      </c>
      <c r="G178" t="inlineStr">
        <is>
          <t>LJUSNARSBERG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46300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46300</v>
      </c>
      <c r="F180" t="inlineStr">
        <is>
          <t>ÖREBRO LÄN</t>
        </is>
      </c>
      <c r="G180" t="inlineStr">
        <is>
          <t>LJUSNARSBERG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46300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46300</v>
      </c>
      <c r="F182" t="inlineStr">
        <is>
          <t>ÖREBRO LÄN</t>
        </is>
      </c>
      <c r="G182" t="inlineStr">
        <is>
          <t>LJUSNARSBERG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7903-2022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44607</v>
      </c>
      <c r="E183" s="1" t="n">
        <v>46300</v>
      </c>
      <c r="F183" t="inlineStr">
        <is>
          <t>ÖREBRO LÄN</t>
        </is>
      </c>
      <c r="G183" t="inlineStr">
        <is>
          <t>LJUSNARSBERG</t>
        </is>
      </c>
      <c r="H183" t="inlineStr">
        <is>
          <t>Kyrkan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46300</v>
      </c>
      <c r="F184" t="inlineStr">
        <is>
          <t>ÖREBRO LÄN</t>
        </is>
      </c>
      <c r="G184" t="inlineStr">
        <is>
          <t>LJUSNARSBERG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46300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46300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46300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44694</v>
      </c>
      <c r="E188" s="1" t="n">
        <v>46300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45583</v>
      </c>
      <c r="E189" s="1" t="n">
        <v>46300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46300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46300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880-2024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45376</v>
      </c>
      <c r="E192" s="1" t="n">
        <v>46300</v>
      </c>
      <c r="F192" t="inlineStr">
        <is>
          <t>ÖREBRO LÄN</t>
        </is>
      </c>
      <c r="G192" t="inlineStr">
        <is>
          <t>LJUSNARSBERG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46300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46300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3528-2023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45205</v>
      </c>
      <c r="E195" s="1" t="n">
        <v>46300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410-2022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46300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36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4521-2023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45275</v>
      </c>
      <c r="E197" s="1" t="n">
        <v>46300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1099-2022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44615</v>
      </c>
      <c r="E198" s="1" t="n">
        <v>46300</v>
      </c>
      <c r="F198" t="inlineStr">
        <is>
          <t>ÖREBRO LÄN</t>
        </is>
      </c>
      <c r="G198" t="inlineStr">
        <is>
          <t>LJUSNARSBERG</t>
        </is>
      </c>
      <c r="H198" t="inlineStr">
        <is>
          <t>Sveaskog</t>
        </is>
      </c>
      <c r="I198" t="n">
        <v>147.4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2836-2023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45167</v>
      </c>
      <c r="E199" s="1" t="n">
        <v>46300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707-2025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45720</v>
      </c>
      <c r="E200" s="1" t="n">
        <v>46300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162.6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1972-2025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45832</v>
      </c>
      <c r="E201" s="1" t="n">
        <v>46300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3578-2025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46010</v>
      </c>
      <c r="E202" s="1" t="n">
        <v>46300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603-2026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46085</v>
      </c>
      <c r="E203" s="1" t="n">
        <v>46300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125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1743-2026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46185</v>
      </c>
      <c r="E204" s="1" t="n">
        <v>46300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1624-2026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46174</v>
      </c>
      <c r="E205" s="1" t="n">
        <v>46300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2322-2026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46269</v>
      </c>
      <c r="E206" s="1" t="n">
        <v>46300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67.09999999999999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2026-10-05T01:50:59Z</dcterms:created>
  <dcterms:modified xmlns:dcterms="http://purl.org/dc/terms/" xmlns:xsi="http://www.w3.org/2001/XMLSchema-instance" xsi:type="dcterms:W3CDTF">2026-10-05T01:50:59Z</dcterms:modified>
</cp:coreProperties>
</file>