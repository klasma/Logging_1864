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19645-2026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46133</v>
      </c>
      <c r="E2" s="1" t="n">
        <v>46313</v>
      </c>
      <c r="F2" t="inlineStr">
        <is>
          <t>ÖREBRO LÄN</t>
        </is>
      </c>
      <c r="G2" t="inlineStr">
        <is>
          <t>LJUSNARSBERG</t>
        </is>
      </c>
      <c r="I2" t="n">
        <v>20.2</v>
      </c>
      <c r="J2" t="n">
        <v>13</v>
      </c>
      <c r="K2" t="n">
        <v>2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4</v>
      </c>
      <c r="R2" t="n">
        <v>2</v>
      </c>
      <c r="S2" t="n">
        <v>14</v>
      </c>
      <c r="T2" t="n">
        <v>14</v>
      </c>
      <c r="U2" t="n">
        <v>12</v>
      </c>
      <c r="V2" s="2" t="inlineStr">
        <is>
          <t>Hussvala
Tornseglare
Enkelbeckasin
Grönsångare
Grön sköldmossa
Trådticka
Mindre flugsnappare
Spillkråka
Tofsmes
Grönsiska
Kungsfågel
Smålom
Svartvit flugsnappare
Trana</t>
        </is>
      </c>
      <c r="W2">
        <f>HYPERLINK("https://klasma.github.io/Logging_1864/artfynd/A 19645-2026 artfynd.xlsx", "A 19645-2026")</f>
        <v/>
      </c>
      <c r="X2">
        <f>HYPERLINK("https://klasma.github.io/Logging_1864/kartor/A 19645-2026 karta.png", "A 19645-2026")</f>
        <v/>
      </c>
      <c r="Y2">
        <f>HYPERLINK("https://klasma.github.io/Logging_1864/kartor_geotiff/A 19645-2026 georefererad karta.tif", "A 19645-2026")</f>
        <v/>
      </c>
      <c r="AA2">
        <f>HYPERLINK("https://klasma.github.io/Logging_1864/klagomål/A 19645-2026 FSC-klagomål.docx", "A 19645-2026")</f>
        <v/>
      </c>
      <c r="AB2">
        <f>HYPERLINK("https://klasma.github.io/Logging_1864/klagomålsmail/A 19645-2026 FSC-klagomål mail.docx", "A 19645-2026")</f>
        <v/>
      </c>
      <c r="AC2">
        <f>HYPERLINK("https://klasma.github.io/Logging_1864/tillsyn/A 19645-2026 tillsynsbegäran.docx", "A 19645-2026")</f>
        <v/>
      </c>
      <c r="AD2">
        <f>HYPERLINK("https://klasma.github.io/Logging_1864/tillsynsmail/A 19645-2026 tillsynsbegäran mail.docx", "A 19645-2026")</f>
        <v/>
      </c>
      <c r="AE2">
        <f>HYPERLINK("https://klasma.github.io/Logging_1864/fåglar/A 19645-2026 prioriterade fågelarter.docx", "A 19645-2026")</f>
        <v/>
      </c>
    </row>
    <row r="3" ht="15" customHeight="1">
      <c r="A3" t="inlineStr">
        <is>
          <t>A 65215-2021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44515</v>
      </c>
      <c r="E3" s="1" t="n">
        <v>46313</v>
      </c>
      <c r="F3" t="inlineStr">
        <is>
          <t>ÖREBRO LÄN</t>
        </is>
      </c>
      <c r="G3" t="inlineStr">
        <is>
          <t>LJUSNARSBERG</t>
        </is>
      </c>
      <c r="H3" t="inlineStr">
        <is>
          <t>Bergvik skog väst AB</t>
        </is>
      </c>
      <c r="I3" t="n">
        <v>2.2</v>
      </c>
      <c r="J3" t="n">
        <v>1</v>
      </c>
      <c r="K3" t="n">
        <v>5</v>
      </c>
      <c r="L3" t="n">
        <v>3</v>
      </c>
      <c r="M3" t="n">
        <v>1</v>
      </c>
      <c r="N3" t="n">
        <v>0</v>
      </c>
      <c r="O3" t="n">
        <v>0</v>
      </c>
      <c r="P3" t="n">
        <v>0</v>
      </c>
      <c r="Q3" t="n">
        <v>4</v>
      </c>
      <c r="R3" t="n">
        <v>1</v>
      </c>
      <c r="S3" t="n">
        <v>9</v>
      </c>
      <c r="T3" t="n">
        <v>18</v>
      </c>
      <c r="U3" t="n">
        <v>13</v>
      </c>
      <c r="V3" s="2" t="inlineStr">
        <is>
          <t>Garnlav
Brunpudrad nållav
Tretåig hackspett
Vedtrappmossa
Flagellkvastmossa
Gulnål
Mindre märgborre
Vedticka
Vågbandad barkbock</t>
        </is>
      </c>
      <c r="W3">
        <f>HYPERLINK("https://klasma.github.io/Logging_1864/artfynd/A 65215-2021 artfynd.xlsx", "A 65215-2021")</f>
        <v/>
      </c>
      <c r="X3">
        <f>HYPERLINK("https://klasma.github.io/Logging_1864/kartor/A 65215-2021 karta.png", "A 65215-2021")</f>
        <v/>
      </c>
      <c r="Y3">
        <f>HYPERLINK("https://klasma.github.io/Logging_1864/kartor_geotiff/A 65215-2021 georefererad karta.tif", "A 65215-2021")</f>
        <v/>
      </c>
      <c r="AA3">
        <f>HYPERLINK("https://klasma.github.io/Logging_1864/klagomål/A 65215-2021 FSC-klagomål.docx", "A 65215-2021")</f>
        <v/>
      </c>
      <c r="AB3">
        <f>HYPERLINK("https://klasma.github.io/Logging_1864/klagomålsmail/A 65215-2021 FSC-klagomål mail.docx", "A 65215-2021")</f>
        <v/>
      </c>
      <c r="AC3">
        <f>HYPERLINK("https://klasma.github.io/Logging_1864/tillsyn/A 65215-2021 tillsynsbegäran.docx", "A 65215-2021")</f>
        <v/>
      </c>
      <c r="AD3">
        <f>HYPERLINK("https://klasma.github.io/Logging_1864/tillsynsmail/A 65215-2021 tillsynsbegäran mail.docx", "A 65215-2021")</f>
        <v/>
      </c>
      <c r="AE3">
        <f>HYPERLINK("https://klasma.github.io/Logging_1864/fåglar/A 65215-2021 prioriterade fågelarter.docx", "A 65215-2021")</f>
        <v/>
      </c>
    </row>
    <row r="4" ht="15" customHeight="1">
      <c r="A4" t="inlineStr">
        <is>
          <t>A 65216-2021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44515</v>
      </c>
      <c r="E4" s="1" t="n">
        <v>46313</v>
      </c>
      <c r="F4" t="inlineStr">
        <is>
          <t>ÖREBRO LÄN</t>
        </is>
      </c>
      <c r="G4" t="inlineStr">
        <is>
          <t>LJUSNARSBERG</t>
        </is>
      </c>
      <c r="H4" t="inlineStr">
        <is>
          <t>Bergvik skog väst AB</t>
        </is>
      </c>
      <c r="I4" t="n">
        <v>1.9</v>
      </c>
      <c r="J4" t="n">
        <v>2</v>
      </c>
      <c r="K4" t="n">
        <v>3</v>
      </c>
      <c r="L4" t="n">
        <v>3</v>
      </c>
      <c r="M4" t="n">
        <v>1</v>
      </c>
      <c r="N4" t="n">
        <v>0</v>
      </c>
      <c r="O4" t="n">
        <v>0</v>
      </c>
      <c r="P4" t="n">
        <v>0</v>
      </c>
      <c r="Q4" t="n">
        <v>4</v>
      </c>
      <c r="R4" t="n">
        <v>1</v>
      </c>
      <c r="S4" t="n">
        <v>8</v>
      </c>
      <c r="T4" t="n">
        <v>14</v>
      </c>
      <c r="U4" t="n">
        <v>8</v>
      </c>
      <c r="V4" s="2" t="inlineStr">
        <is>
          <t>Garnlav
Brunpudrad nållav
Tallriska
Tretåig hackspett
Gulnål
Mindre märgborre
Thomsons trägnagare
Tjäder</t>
        </is>
      </c>
      <c r="W4">
        <f>HYPERLINK("https://klasma.github.io/Logging_1864/artfynd/A 65216-2021 artfynd.xlsx", "A 65216-2021")</f>
        <v/>
      </c>
      <c r="X4">
        <f>HYPERLINK("https://klasma.github.io/Logging_1864/kartor/A 65216-2021 karta.png", "A 65216-2021")</f>
        <v/>
      </c>
      <c r="Y4">
        <f>HYPERLINK("https://klasma.github.io/Logging_1864/kartor_geotiff/A 65216-2021 georefererad karta.tif", "A 65216-2021")</f>
        <v/>
      </c>
      <c r="AA4">
        <f>HYPERLINK("https://klasma.github.io/Logging_1864/klagomål/A 65216-2021 FSC-klagomål.docx", "A 65216-2021")</f>
        <v/>
      </c>
      <c r="AB4">
        <f>HYPERLINK("https://klasma.github.io/Logging_1864/klagomålsmail/A 65216-2021 FSC-klagomål mail.docx", "A 65216-2021")</f>
        <v/>
      </c>
      <c r="AC4">
        <f>HYPERLINK("https://klasma.github.io/Logging_1864/tillsyn/A 65216-2021 tillsynsbegäran.docx", "A 65216-2021")</f>
        <v/>
      </c>
      <c r="AD4">
        <f>HYPERLINK("https://klasma.github.io/Logging_1864/tillsynsmail/A 65216-2021 tillsynsbegäran mail.docx", "A 65216-2021")</f>
        <v/>
      </c>
      <c r="AE4">
        <f>HYPERLINK("https://klasma.github.io/Logging_1864/fåglar/A 65216-2021 prioriterade fågelarter.docx", "A 65216-2021")</f>
        <v/>
      </c>
    </row>
    <row r="5" ht="15" customHeight="1">
      <c r="A5" t="inlineStr">
        <is>
          <t>A 24307-2026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46167</v>
      </c>
      <c r="E5" s="1" t="n">
        <v>46313</v>
      </c>
      <c r="F5" t="inlineStr">
        <is>
          <t>ÖREBRO LÄN</t>
        </is>
      </c>
      <c r="G5" t="inlineStr">
        <is>
          <t>LJUSNARSBERG</t>
        </is>
      </c>
      <c r="I5" t="n">
        <v>10.5</v>
      </c>
      <c r="J5" t="n">
        <v>7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7</v>
      </c>
      <c r="T5" t="n">
        <v>15</v>
      </c>
      <c r="U5" t="n">
        <v>15</v>
      </c>
      <c r="V5" s="2" t="inlineStr">
        <is>
          <t>Järnsparv
Tretåig hackspett
Spillkråka
Tjäder
Tofsmes
Vanlig groda
Fläcknycklar</t>
        </is>
      </c>
      <c r="W5">
        <f>HYPERLINK("https://klasma.github.io/Logging_1864/artfynd/A 24307-2026 artfynd.xlsx", "A 24307-2026")</f>
        <v/>
      </c>
      <c r="X5">
        <f>HYPERLINK("https://klasma.github.io/Logging_1864/kartor/A 24307-2026 karta.png", "A 24307-2026")</f>
        <v/>
      </c>
      <c r="Y5">
        <f>HYPERLINK("https://klasma.github.io/Logging_1864/kartor_geotiff/A 24307-2026 georefererad karta.tif", "A 24307-2026")</f>
        <v/>
      </c>
      <c r="AA5">
        <f>HYPERLINK("https://klasma.github.io/Logging_1864/klagomål/A 24307-2026 FSC-klagomål.docx", "A 24307-2026")</f>
        <v/>
      </c>
      <c r="AB5">
        <f>HYPERLINK("https://klasma.github.io/Logging_1864/klagomålsmail/A 24307-2026 FSC-klagomål mail.docx", "A 24307-2026")</f>
        <v/>
      </c>
      <c r="AC5">
        <f>HYPERLINK("https://klasma.github.io/Logging_1864/tillsyn/A 24307-2026 tillsynsbegäran.docx", "A 24307-2026")</f>
        <v/>
      </c>
      <c r="AD5">
        <f>HYPERLINK("https://klasma.github.io/Logging_1864/tillsynsmail/A 24307-2026 tillsynsbegäran mail.docx", "A 24307-2026")</f>
        <v/>
      </c>
      <c r="AE5">
        <f>HYPERLINK("https://klasma.github.io/Logging_1864/fåglar/A 24307-2026 prioriterade fågelarter.docx", "A 24307-2026")</f>
        <v/>
      </c>
    </row>
    <row r="6" ht="15" customHeight="1">
      <c r="A6" t="inlineStr">
        <is>
          <t>S 295-2025</t>
        </is>
      </c>
      <c r="B6" t="inlineStr">
        <is>
          <t>samrådsanmälan</t>
        </is>
      </c>
      <c r="C6" t="inlineStr">
        <is>
          <t>Skogsgödsling</t>
        </is>
      </c>
      <c r="D6" s="1" t="n">
        <v>45687</v>
      </c>
      <c r="E6" s="1" t="n">
        <v>46313</v>
      </c>
      <c r="F6" t="inlineStr">
        <is>
          <t>ÖREBRO LÄN</t>
        </is>
      </c>
      <c r="G6" t="inlineStr">
        <is>
          <t>LJUSNARSBERG</t>
        </is>
      </c>
      <c r="H6" t="inlineStr">
        <is>
          <t>Bergvik skog väst AB</t>
        </is>
      </c>
      <c r="I6" t="n">
        <v>191.2</v>
      </c>
      <c r="J6" t="n">
        <v>3</v>
      </c>
      <c r="K6" t="n">
        <v>2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7</v>
      </c>
      <c r="T6" t="n">
        <v>14</v>
      </c>
      <c r="U6" t="n">
        <v>8</v>
      </c>
      <c r="V6" s="2" t="inlineStr">
        <is>
          <t>Gråbrun ängsfingersvamp
Rosenfingersvamp
Stornopping
Tvåblad
Ängsfingersvamp
Fläcknycklar
Nattviol</t>
        </is>
      </c>
      <c r="W6">
        <f>HYPERLINK("https://klasma.github.io/Logging_1864/artfynd/S 295-2025 artfynd.xlsx", "S 295-2025")</f>
        <v/>
      </c>
      <c r="X6">
        <f>HYPERLINK("https://klasma.github.io/Logging_1864/kartor/S 295-2025 karta.png", "S 295-2025")</f>
        <v/>
      </c>
      <c r="Y6">
        <f>HYPERLINK("https://klasma.github.io/Logging_1864/kartor_geotiff/S 295-2025 georefererad karta.tif", "S 295-2025")</f>
        <v/>
      </c>
      <c r="AA6">
        <f>HYPERLINK("https://klasma.github.io/Logging_1864/klagomål/S 295-2025 FSC-klagomål.docx", "S 295-2025")</f>
        <v/>
      </c>
      <c r="AB6">
        <f>HYPERLINK("https://klasma.github.io/Logging_1864/klagomålsmail/S 295-2025 FSC-klagomål mail.docx", "S 295-2025")</f>
        <v/>
      </c>
      <c r="AC6">
        <f>HYPERLINK("https://klasma.github.io/Logging_1864/tillsyn/S 295-2025 tillsynsbegäran.docx", "S 295-2025")</f>
        <v/>
      </c>
      <c r="AD6">
        <f>HYPERLINK("https://klasma.github.io/Logging_1864/tillsynsmail/S 295-2025 tillsynsbegäran mail.docx", "S 295-2025")</f>
        <v/>
      </c>
    </row>
    <row r="7" ht="15" customHeight="1">
      <c r="A7" t="inlineStr">
        <is>
          <t>A 41623-2024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45560</v>
      </c>
      <c r="E7" s="1" t="n">
        <v>46313</v>
      </c>
      <c r="F7" t="inlineStr">
        <is>
          <t>ÖREBRO LÄN</t>
        </is>
      </c>
      <c r="G7" t="inlineStr">
        <is>
          <t>LJUSNARSBERG</t>
        </is>
      </c>
      <c r="I7" t="n">
        <v>0.5</v>
      </c>
      <c r="J7" t="n">
        <v>0</v>
      </c>
      <c r="K7" t="n">
        <v>0</v>
      </c>
      <c r="L7" t="n">
        <v>4</v>
      </c>
      <c r="M7" t="n">
        <v>1</v>
      </c>
      <c r="N7" t="n">
        <v>0</v>
      </c>
      <c r="O7" t="n">
        <v>0</v>
      </c>
      <c r="P7" t="n">
        <v>0</v>
      </c>
      <c r="Q7" t="n">
        <v>5</v>
      </c>
      <c r="R7" t="n">
        <v>1</v>
      </c>
      <c r="S7" t="n">
        <v>5</v>
      </c>
      <c r="T7" t="n">
        <v>5</v>
      </c>
      <c r="U7" t="n">
        <v>1</v>
      </c>
      <c r="V7" s="2" t="inlineStr">
        <is>
          <t>Skuggmalmätare
Brunbandad malmätare
Brunflammig fältmätare
Glimmalmätare
Gullpudra</t>
        </is>
      </c>
      <c r="W7">
        <f>HYPERLINK("https://klasma.github.io/Logging_1864/artfynd/A 41623-2024 artfynd.xlsx", "A 41623-2024")</f>
        <v/>
      </c>
      <c r="X7">
        <f>HYPERLINK("https://klasma.github.io/Logging_1864/kartor/A 41623-2024 karta.png", "A 41623-2024")</f>
        <v/>
      </c>
      <c r="Y7">
        <f>HYPERLINK("https://klasma.github.io/Logging_1864/kartor_geotiff/A 41623-2024 georefererad karta.tif", "A 41623-2024")</f>
        <v/>
      </c>
      <c r="AA7">
        <f>HYPERLINK("https://klasma.github.io/Logging_1864/klagomål/A 41623-2024 FSC-klagomål.docx", "A 41623-2024")</f>
        <v/>
      </c>
      <c r="AB7">
        <f>HYPERLINK("https://klasma.github.io/Logging_1864/klagomålsmail/A 41623-2024 FSC-klagomål mail.docx", "A 41623-2024")</f>
        <v/>
      </c>
      <c r="AC7">
        <f>HYPERLINK("https://klasma.github.io/Logging_1864/tillsyn/A 41623-2024 tillsynsbegäran.docx", "A 41623-2024")</f>
        <v/>
      </c>
      <c r="AD7">
        <f>HYPERLINK("https://klasma.github.io/Logging_1864/tillsynsmail/A 41623-2024 tillsynsbegäran mail.docx", "A 41623-2024")</f>
        <v/>
      </c>
    </row>
    <row r="8" ht="15" customHeight="1">
      <c r="A8" t="inlineStr">
        <is>
          <t>A 65217-2021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44515</v>
      </c>
      <c r="E8" s="1" t="n">
        <v>46313</v>
      </c>
      <c r="F8" t="inlineStr">
        <is>
          <t>ÖREBRO LÄN</t>
        </is>
      </c>
      <c r="G8" t="inlineStr">
        <is>
          <t>LJUSNARSBERG</t>
        </is>
      </c>
      <c r="H8" t="inlineStr">
        <is>
          <t>Bergvik skog väst AB</t>
        </is>
      </c>
      <c r="I8" t="n">
        <v>1.3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0</v>
      </c>
      <c r="S8" t="n">
        <v>5</v>
      </c>
      <c r="T8" t="n">
        <v>12</v>
      </c>
      <c r="U8" t="n">
        <v>12</v>
      </c>
      <c r="V8" s="2" t="inlineStr">
        <is>
          <t>Motaggsvamp
Tallriska
Tretåig hackspett
Vedtrappmossa
Bollvitmossa</t>
        </is>
      </c>
      <c r="W8">
        <f>HYPERLINK("https://klasma.github.io/Logging_1864/artfynd/A 65217-2021 artfynd.xlsx", "A 65217-2021")</f>
        <v/>
      </c>
      <c r="X8">
        <f>HYPERLINK("https://klasma.github.io/Logging_1864/kartor/A 65217-2021 karta.png", "A 65217-2021")</f>
        <v/>
      </c>
      <c r="Y8">
        <f>HYPERLINK("https://klasma.github.io/Logging_1864/kartor_geotiff/A 65217-2021 georefererad karta.tif", "A 65217-2021")</f>
        <v/>
      </c>
      <c r="AA8">
        <f>HYPERLINK("https://klasma.github.io/Logging_1864/klagomål/A 65217-2021 FSC-klagomål.docx", "A 65217-2021")</f>
        <v/>
      </c>
      <c r="AB8">
        <f>HYPERLINK("https://klasma.github.io/Logging_1864/klagomålsmail/A 65217-2021 FSC-klagomål mail.docx", "A 65217-2021")</f>
        <v/>
      </c>
      <c r="AC8">
        <f>HYPERLINK("https://klasma.github.io/Logging_1864/tillsyn/A 65217-2021 tillsynsbegäran.docx", "A 65217-2021")</f>
        <v/>
      </c>
      <c r="AD8">
        <f>HYPERLINK("https://klasma.github.io/Logging_1864/tillsynsmail/A 65217-2021 tillsynsbegäran mail.docx", "A 65217-2021")</f>
        <v/>
      </c>
      <c r="AE8">
        <f>HYPERLINK("https://klasma.github.io/Logging_1864/fåglar/A 65217-2021 prioriterade fågelarter.docx", "A 65217-2021")</f>
        <v/>
      </c>
    </row>
    <row r="9" ht="15" customHeight="1">
      <c r="A9" t="inlineStr">
        <is>
          <t>A 18853-2026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46127</v>
      </c>
      <c r="E9" s="1" t="n">
        <v>46313</v>
      </c>
      <c r="F9" t="inlineStr">
        <is>
          <t>ÖREBRO LÄN</t>
        </is>
      </c>
      <c r="G9" t="inlineStr">
        <is>
          <t>LJUSNARSBERG</t>
        </is>
      </c>
      <c r="I9" t="n">
        <v>9.5</v>
      </c>
      <c r="J9" t="n">
        <v>4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5</v>
      </c>
      <c r="T9" t="n">
        <v>7</v>
      </c>
      <c r="U9" t="n">
        <v>7</v>
      </c>
      <c r="V9" s="2" t="inlineStr">
        <is>
          <t>Entita
Bronshjon
Spillkråka
Grönsiska
Kungsfågel</t>
        </is>
      </c>
      <c r="W9">
        <f>HYPERLINK("https://klasma.github.io/Logging_1864/artfynd/A 18853-2026 artfynd.xlsx", "A 18853-2026")</f>
        <v/>
      </c>
      <c r="X9">
        <f>HYPERLINK("https://klasma.github.io/Logging_1864/kartor/A 18853-2026 karta.png", "A 18853-2026")</f>
        <v/>
      </c>
      <c r="Y9">
        <f>HYPERLINK("https://klasma.github.io/Logging_1864/kartor_geotiff/A 18853-2026 georefererad karta.tif", "A 18853-2026")</f>
        <v/>
      </c>
      <c r="AA9">
        <f>HYPERLINK("https://klasma.github.io/Logging_1864/klagomål/A 18853-2026 FSC-klagomål.docx", "A 18853-2026")</f>
        <v/>
      </c>
      <c r="AB9">
        <f>HYPERLINK("https://klasma.github.io/Logging_1864/klagomålsmail/A 18853-2026 FSC-klagomål mail.docx", "A 18853-2026")</f>
        <v/>
      </c>
      <c r="AC9">
        <f>HYPERLINK("https://klasma.github.io/Logging_1864/tillsyn/A 18853-2026 tillsynsbegäran.docx", "A 18853-2026")</f>
        <v/>
      </c>
      <c r="AD9">
        <f>HYPERLINK("https://klasma.github.io/Logging_1864/tillsynsmail/A 18853-2026 tillsynsbegäran mail.docx", "A 18853-2026")</f>
        <v/>
      </c>
      <c r="AE9">
        <f>HYPERLINK("https://klasma.github.io/Logging_1864/fåglar/A 18853-2026 prioriterade fågelarter.docx", "A 18853-2026")</f>
        <v/>
      </c>
    </row>
    <row r="10" ht="15" customHeight="1">
      <c r="A10" t="inlineStr">
        <is>
          <t>A 24352-2026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46167</v>
      </c>
      <c r="E10" s="1" t="n">
        <v>46313</v>
      </c>
      <c r="F10" t="inlineStr">
        <is>
          <t>ÖREBRO LÄN</t>
        </is>
      </c>
      <c r="G10" t="inlineStr">
        <is>
          <t>LJUSNARSBERG</t>
        </is>
      </c>
      <c r="I10" t="n">
        <v>2.9</v>
      </c>
      <c r="J10" t="n">
        <v>3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11</v>
      </c>
      <c r="U10" t="n">
        <v>11</v>
      </c>
      <c r="V10" s="2" t="inlineStr">
        <is>
          <t>Thomsons trägnagare
Vågbandad barkbock
Spillkråka
Tjäder
Fläcknycklar</t>
        </is>
      </c>
      <c r="W10">
        <f>HYPERLINK("https://klasma.github.io/Logging_1864/artfynd/A 24352-2026 artfynd.xlsx", "A 24352-2026")</f>
        <v/>
      </c>
      <c r="X10">
        <f>HYPERLINK("https://klasma.github.io/Logging_1864/kartor/A 24352-2026 karta.png", "A 24352-2026")</f>
        <v/>
      </c>
      <c r="Y10">
        <f>HYPERLINK("https://klasma.github.io/Logging_1864/kartor_geotiff/A 24352-2026 georefererad karta.tif", "A 24352-2026")</f>
        <v/>
      </c>
      <c r="AA10">
        <f>HYPERLINK("https://klasma.github.io/Logging_1864/klagomål/A 24352-2026 FSC-klagomål.docx", "A 24352-2026")</f>
        <v/>
      </c>
      <c r="AB10">
        <f>HYPERLINK("https://klasma.github.io/Logging_1864/klagomålsmail/A 24352-2026 FSC-klagomål mail.docx", "A 24352-2026")</f>
        <v/>
      </c>
      <c r="AC10">
        <f>HYPERLINK("https://klasma.github.io/Logging_1864/tillsyn/A 24352-2026 tillsynsbegäran.docx", "A 24352-2026")</f>
        <v/>
      </c>
      <c r="AD10">
        <f>HYPERLINK("https://klasma.github.io/Logging_1864/tillsynsmail/A 24352-2026 tillsynsbegäran mail.docx", "A 24352-2026")</f>
        <v/>
      </c>
      <c r="AE10">
        <f>HYPERLINK("https://klasma.github.io/Logging_1864/fåglar/A 24352-2026 prioriterade fågelarter.docx", "A 24352-2026")</f>
        <v/>
      </c>
    </row>
    <row r="11" ht="15" customHeight="1">
      <c r="A11" t="inlineStr">
        <is>
          <t>A 57978-2025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45982</v>
      </c>
      <c r="E11" s="1" t="n">
        <v>46313</v>
      </c>
      <c r="F11" t="inlineStr">
        <is>
          <t>ÖREBRO LÄN</t>
        </is>
      </c>
      <c r="G11" t="inlineStr">
        <is>
          <t>LJUSNARSBERG</t>
        </is>
      </c>
      <c r="H11" t="inlineStr">
        <is>
          <t>Bergvik skog väst AB</t>
        </is>
      </c>
      <c r="I11" t="n">
        <v>1.5</v>
      </c>
      <c r="J11" t="n">
        <v>4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7</v>
      </c>
      <c r="U11" t="n">
        <v>0</v>
      </c>
      <c r="V11" s="2" t="inlineStr">
        <is>
          <t>Tvåblad
Brudsporre
Grönvit nattviol
Nattviol</t>
        </is>
      </c>
      <c r="W11">
        <f>HYPERLINK("https://klasma.github.io/Logging_1864/artfynd/A 57978-2025 artfynd.xlsx", "A 57978-2025")</f>
        <v/>
      </c>
      <c r="X11">
        <f>HYPERLINK("https://klasma.github.io/Logging_1864/kartor/A 57978-2025 karta.png", "A 57978-2025")</f>
        <v/>
      </c>
      <c r="Y11">
        <f>HYPERLINK("https://klasma.github.io/Logging_1864/kartor_geotiff/A 57978-2025 georefererad karta.tif", "A 57978-2025")</f>
        <v/>
      </c>
      <c r="AA11">
        <f>HYPERLINK("https://klasma.github.io/Logging_1864/klagomål/A 57978-2025 FSC-klagomål.docx", "A 57978-2025")</f>
        <v/>
      </c>
      <c r="AB11">
        <f>HYPERLINK("https://klasma.github.io/Logging_1864/klagomålsmail/A 57978-2025 FSC-klagomål mail.docx", "A 57978-2025")</f>
        <v/>
      </c>
      <c r="AC11">
        <f>HYPERLINK("https://klasma.github.io/Logging_1864/tillsyn/A 57978-2025 tillsynsbegäran.docx", "A 57978-2025")</f>
        <v/>
      </c>
      <c r="AD11">
        <f>HYPERLINK("https://klasma.github.io/Logging_1864/tillsynsmail/A 57978-2025 tillsynsbegäran mail.docx", "A 57978-2025")</f>
        <v/>
      </c>
    </row>
    <row r="12" ht="15" customHeight="1">
      <c r="A12" t="inlineStr">
        <is>
          <t>A 24299-2026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46167</v>
      </c>
      <c r="E12" s="1" t="n">
        <v>46313</v>
      </c>
      <c r="F12" t="inlineStr">
        <is>
          <t>ÖREBRO LÄN</t>
        </is>
      </c>
      <c r="G12" t="inlineStr">
        <is>
          <t>LJUSNARSBERG</t>
        </is>
      </c>
      <c r="I12" t="n">
        <v>10.8</v>
      </c>
      <c r="J12" t="n">
        <v>4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4</v>
      </c>
      <c r="T12" t="n">
        <v>5</v>
      </c>
      <c r="U12" t="n">
        <v>5</v>
      </c>
      <c r="V12" s="2" t="inlineStr">
        <is>
          <t>Tornseglare
Talltita
Spillkråka
Tofsmes</t>
        </is>
      </c>
      <c r="W12">
        <f>HYPERLINK("https://klasma.github.io/Logging_1864/artfynd/A 24299-2026 artfynd.xlsx", "A 24299-2026")</f>
        <v/>
      </c>
      <c r="X12">
        <f>HYPERLINK("https://klasma.github.io/Logging_1864/kartor/A 24299-2026 karta.png", "A 24299-2026")</f>
        <v/>
      </c>
      <c r="Y12">
        <f>HYPERLINK("https://klasma.github.io/Logging_1864/kartor_geotiff/A 24299-2026 georefererad karta.tif", "A 24299-2026")</f>
        <v/>
      </c>
      <c r="AA12">
        <f>HYPERLINK("https://klasma.github.io/Logging_1864/klagomål/A 24299-2026 FSC-klagomål.docx", "A 24299-2026")</f>
        <v/>
      </c>
      <c r="AB12">
        <f>HYPERLINK("https://klasma.github.io/Logging_1864/klagomålsmail/A 24299-2026 FSC-klagomål mail.docx", "A 24299-2026")</f>
        <v/>
      </c>
      <c r="AC12">
        <f>HYPERLINK("https://klasma.github.io/Logging_1864/tillsyn/A 24299-2026 tillsynsbegäran.docx", "A 24299-2026")</f>
        <v/>
      </c>
      <c r="AD12">
        <f>HYPERLINK("https://klasma.github.io/Logging_1864/tillsynsmail/A 24299-2026 tillsynsbegäran mail.docx", "A 24299-2026")</f>
        <v/>
      </c>
      <c r="AE12">
        <f>HYPERLINK("https://klasma.github.io/Logging_1864/fåglar/A 24299-2026 prioriterade fågelarter.docx", "A 24299-2026")</f>
        <v/>
      </c>
    </row>
    <row r="13" ht="15" customHeight="1">
      <c r="A13" t="inlineStr">
        <is>
          <t>A 49300-2025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45936</v>
      </c>
      <c r="E13" s="1" t="n">
        <v>46313</v>
      </c>
      <c r="F13" t="inlineStr">
        <is>
          <t>ÖREBRO LÄN</t>
        </is>
      </c>
      <c r="G13" t="inlineStr">
        <is>
          <t>LJUSNARSBERG</t>
        </is>
      </c>
      <c r="H13" t="inlineStr">
        <is>
          <t>Bergvik skog väst AB</t>
        </is>
      </c>
      <c r="I13" t="n">
        <v>7</v>
      </c>
      <c r="J13" t="n">
        <v>0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3</v>
      </c>
      <c r="T13" t="n">
        <v>3</v>
      </c>
      <c r="U13" t="n">
        <v>0</v>
      </c>
      <c r="V13" s="2" t="inlineStr">
        <is>
          <t>Rynkskinn
Ullticka
Vedticka</t>
        </is>
      </c>
      <c r="W13">
        <f>HYPERLINK("https://klasma.github.io/Logging_1864/artfynd/A 49300-2025 artfynd.xlsx", "A 49300-2025")</f>
        <v/>
      </c>
      <c r="X13">
        <f>HYPERLINK("https://klasma.github.io/Logging_1864/kartor/A 49300-2025 karta.png", "A 49300-2025")</f>
        <v/>
      </c>
      <c r="Y13">
        <f>HYPERLINK("https://klasma.github.io/Logging_1864/kartor_geotiff/A 49300-2025 georefererad karta.tif", "A 49300-2025")</f>
        <v/>
      </c>
      <c r="AA13">
        <f>HYPERLINK("https://klasma.github.io/Logging_1864/klagomål/A 49300-2025 FSC-klagomål.docx", "A 49300-2025")</f>
        <v/>
      </c>
      <c r="AB13">
        <f>HYPERLINK("https://klasma.github.io/Logging_1864/klagomålsmail/A 49300-2025 FSC-klagomål mail.docx", "A 49300-2025")</f>
        <v/>
      </c>
      <c r="AC13">
        <f>HYPERLINK("https://klasma.github.io/Logging_1864/tillsyn/A 49300-2025 tillsynsbegäran.docx", "A 49300-2025")</f>
        <v/>
      </c>
      <c r="AD13">
        <f>HYPERLINK("https://klasma.github.io/Logging_1864/tillsynsmail/A 49300-2025 tillsynsbegäran mail.docx", "A 49300-2025")</f>
        <v/>
      </c>
    </row>
    <row r="14" ht="15" customHeight="1">
      <c r="A14" t="inlineStr">
        <is>
          <t>A 32309-2022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44781</v>
      </c>
      <c r="E14" s="1" t="n">
        <v>46313</v>
      </c>
      <c r="F14" t="inlineStr">
        <is>
          <t>ÖREBRO LÄN</t>
        </is>
      </c>
      <c r="G14" t="inlineStr">
        <is>
          <t>LJUSNARSBERG</t>
        </is>
      </c>
      <c r="I14" t="n">
        <v>3.4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11</v>
      </c>
      <c r="U14" t="n">
        <v>11</v>
      </c>
      <c r="V14" s="2" t="inlineStr">
        <is>
          <t>Tretåig hackspett
Tjäder</t>
        </is>
      </c>
      <c r="W14">
        <f>HYPERLINK("https://klasma.github.io/Logging_1864/artfynd/A 32309-2022 artfynd.xlsx", "A 32309-2022")</f>
        <v/>
      </c>
      <c r="X14">
        <f>HYPERLINK("https://klasma.github.io/Logging_1864/kartor/A 32309-2022 karta.png", "A 32309-2022")</f>
        <v/>
      </c>
      <c r="Y14">
        <f>HYPERLINK("https://klasma.github.io/Logging_1864/kartor_geotiff/A 32309-2022 georefererad karta.tif", "A 32309-2022")</f>
        <v/>
      </c>
      <c r="AA14">
        <f>HYPERLINK("https://klasma.github.io/Logging_1864/klagomål/A 32309-2022 FSC-klagomål.docx", "A 32309-2022")</f>
        <v/>
      </c>
      <c r="AB14">
        <f>HYPERLINK("https://klasma.github.io/Logging_1864/klagomålsmail/A 32309-2022 FSC-klagomål mail.docx", "A 32309-2022")</f>
        <v/>
      </c>
      <c r="AC14">
        <f>HYPERLINK("https://klasma.github.io/Logging_1864/tillsyn/A 32309-2022 tillsynsbegäran.docx", "A 32309-2022")</f>
        <v/>
      </c>
      <c r="AD14">
        <f>HYPERLINK("https://klasma.github.io/Logging_1864/tillsynsmail/A 32309-2022 tillsynsbegäran mail.docx", "A 32309-2022")</f>
        <v/>
      </c>
      <c r="AE14">
        <f>HYPERLINK("https://klasma.github.io/Logging_1864/fåglar/A 32309-2022 prioriterade fågelarter.docx", "A 32309-2022")</f>
        <v/>
      </c>
    </row>
    <row r="15" ht="15" customHeight="1">
      <c r="A15" t="inlineStr">
        <is>
          <t>A 40854-2025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45897</v>
      </c>
      <c r="E15" s="1" t="n">
        <v>46313</v>
      </c>
      <c r="F15" t="inlineStr">
        <is>
          <t>ÖREBRO LÄN</t>
        </is>
      </c>
      <c r="G15" t="inlineStr">
        <is>
          <t>LJUSNARSBERG</t>
        </is>
      </c>
      <c r="H15" t="inlineStr">
        <is>
          <t>Bergvik skog väst AB</t>
        </is>
      </c>
      <c r="I15" t="n">
        <v>3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0</v>
      </c>
      <c r="V15" s="2" t="inlineStr">
        <is>
          <t>Tvåblad
Nattviol</t>
        </is>
      </c>
      <c r="W15">
        <f>HYPERLINK("https://klasma.github.io/Logging_1864/artfynd/A 40854-2025 artfynd.xlsx", "A 40854-2025")</f>
        <v/>
      </c>
      <c r="X15">
        <f>HYPERLINK("https://klasma.github.io/Logging_1864/kartor/A 40854-2025 karta.png", "A 40854-2025")</f>
        <v/>
      </c>
      <c r="Y15">
        <f>HYPERLINK("https://klasma.github.io/Logging_1864/kartor_geotiff/A 40854-2025 georefererad karta.tif", "A 40854-2025")</f>
        <v/>
      </c>
      <c r="AA15">
        <f>HYPERLINK("https://klasma.github.io/Logging_1864/klagomål/A 40854-2025 FSC-klagomål.docx", "A 40854-2025")</f>
        <v/>
      </c>
      <c r="AB15">
        <f>HYPERLINK("https://klasma.github.io/Logging_1864/klagomålsmail/A 40854-2025 FSC-klagomål mail.docx", "A 40854-2025")</f>
        <v/>
      </c>
      <c r="AC15">
        <f>HYPERLINK("https://klasma.github.io/Logging_1864/tillsyn/A 40854-2025 tillsynsbegäran.docx", "A 40854-2025")</f>
        <v/>
      </c>
      <c r="AD15">
        <f>HYPERLINK("https://klasma.github.io/Logging_1864/tillsynsmail/A 40854-2025 tillsynsbegäran mail.docx", "A 40854-2025")</f>
        <v/>
      </c>
    </row>
    <row r="16" ht="15" customHeight="1">
      <c r="A16" t="inlineStr">
        <is>
          <t>A 49157-2023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45210</v>
      </c>
      <c r="E16" s="1" t="n">
        <v>46313</v>
      </c>
      <c r="F16" t="inlineStr">
        <is>
          <t>ÖREBRO LÄN</t>
        </is>
      </c>
      <c r="G16" t="inlineStr">
        <is>
          <t>LJUSNARSBERG</t>
        </is>
      </c>
      <c r="I16" t="n">
        <v>3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s="2" t="inlineStr">
        <is>
          <t>Rödgul trumpetsvamp
Skogshakmossa</t>
        </is>
      </c>
      <c r="W16">
        <f>HYPERLINK("https://klasma.github.io/Logging_1864/artfynd/A 49157-2023 artfynd.xlsx", "A 49157-2023")</f>
        <v/>
      </c>
      <c r="X16">
        <f>HYPERLINK("https://klasma.github.io/Logging_1864/kartor/A 49157-2023 karta.png", "A 49157-2023")</f>
        <v/>
      </c>
      <c r="Y16">
        <f>HYPERLINK("https://klasma.github.io/Logging_1864/kartor_geotiff/A 49157-2023 georefererad karta.tif", "A 49157-2023")</f>
        <v/>
      </c>
      <c r="AA16">
        <f>HYPERLINK("https://klasma.github.io/Logging_1864/klagomål/A 49157-2023 FSC-klagomål.docx", "A 49157-2023")</f>
        <v/>
      </c>
      <c r="AB16">
        <f>HYPERLINK("https://klasma.github.io/Logging_1864/klagomålsmail/A 49157-2023 FSC-klagomål mail.docx", "A 49157-2023")</f>
        <v/>
      </c>
      <c r="AC16">
        <f>HYPERLINK("https://klasma.github.io/Logging_1864/tillsyn/A 49157-2023 tillsynsbegäran.docx", "A 49157-2023")</f>
        <v/>
      </c>
      <c r="AD16">
        <f>HYPERLINK("https://klasma.github.io/Logging_1864/tillsynsmail/A 49157-2023 tillsynsbegäran mail.docx", "A 49157-2023")</f>
        <v/>
      </c>
    </row>
    <row r="17" ht="15" customHeight="1">
      <c r="A17" t="inlineStr">
        <is>
          <t>A 62105-2022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44920</v>
      </c>
      <c r="E17" s="1" t="n">
        <v>46313</v>
      </c>
      <c r="F17" t="inlineStr">
        <is>
          <t>ÖREBRO LÄN</t>
        </is>
      </c>
      <c r="G17" t="inlineStr">
        <is>
          <t>LJUSNARSBERG</t>
        </is>
      </c>
      <c r="I17" t="n">
        <v>5.7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7</v>
      </c>
      <c r="U17" t="n">
        <v>7</v>
      </c>
      <c r="V17" s="2" t="inlineStr">
        <is>
          <t>Spillkråka
Kungsfågel</t>
        </is>
      </c>
      <c r="W17">
        <f>HYPERLINK("https://klasma.github.io/Logging_1864/artfynd/A 62105-2022 artfynd.xlsx", "A 62105-2022")</f>
        <v/>
      </c>
      <c r="X17">
        <f>HYPERLINK("https://klasma.github.io/Logging_1864/kartor/A 62105-2022 karta.png", "A 62105-2022")</f>
        <v/>
      </c>
      <c r="Y17">
        <f>HYPERLINK("https://klasma.github.io/Logging_1864/kartor_geotiff/A 62105-2022 georefererad karta.tif", "A 62105-2022")</f>
        <v/>
      </c>
      <c r="AA17">
        <f>HYPERLINK("https://klasma.github.io/Logging_1864/klagomål/A 62105-2022 FSC-klagomål.docx", "A 62105-2022")</f>
        <v/>
      </c>
      <c r="AB17">
        <f>HYPERLINK("https://klasma.github.io/Logging_1864/klagomålsmail/A 62105-2022 FSC-klagomål mail.docx", "A 62105-2022")</f>
        <v/>
      </c>
      <c r="AC17">
        <f>HYPERLINK("https://klasma.github.io/Logging_1864/tillsyn/A 62105-2022 tillsynsbegäran.docx", "A 62105-2022")</f>
        <v/>
      </c>
      <c r="AD17">
        <f>HYPERLINK("https://klasma.github.io/Logging_1864/tillsynsmail/A 62105-2022 tillsynsbegäran mail.docx", "A 62105-2022")</f>
        <v/>
      </c>
      <c r="AE17">
        <f>HYPERLINK("https://klasma.github.io/Logging_1864/fåglar/A 62105-2022 prioriterade fågelarter.docx", "A 62105-2022")</f>
        <v/>
      </c>
    </row>
    <row r="18" ht="15" customHeight="1">
      <c r="A18" t="inlineStr">
        <is>
          <t>A 24374-2026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46167</v>
      </c>
      <c r="E18" s="1" t="n">
        <v>46313</v>
      </c>
      <c r="F18" t="inlineStr">
        <is>
          <t>ÖREBRO LÄN</t>
        </is>
      </c>
      <c r="G18" t="inlineStr">
        <is>
          <t>LJUSNARSBERG</t>
        </is>
      </c>
      <c r="I18" t="n">
        <v>2.4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3</v>
      </c>
      <c r="U18" t="n">
        <v>3</v>
      </c>
      <c r="V18" s="2" t="inlineStr">
        <is>
          <t>Vågbandad barkbock
Fläcknycklar</t>
        </is>
      </c>
      <c r="W18">
        <f>HYPERLINK("https://klasma.github.io/Logging_1864/artfynd/A 24374-2026 artfynd.xlsx", "A 24374-2026")</f>
        <v/>
      </c>
      <c r="X18">
        <f>HYPERLINK("https://klasma.github.io/Logging_1864/kartor/A 24374-2026 karta.png", "A 24374-2026")</f>
        <v/>
      </c>
      <c r="Y18">
        <f>HYPERLINK("https://klasma.github.io/Logging_1864/kartor_geotiff/A 24374-2026 georefererad karta.tif", "A 24374-2026")</f>
        <v/>
      </c>
      <c r="AA18">
        <f>HYPERLINK("https://klasma.github.io/Logging_1864/klagomål/A 24374-2026 FSC-klagomål.docx", "A 24374-2026")</f>
        <v/>
      </c>
      <c r="AB18">
        <f>HYPERLINK("https://klasma.github.io/Logging_1864/klagomålsmail/A 24374-2026 FSC-klagomål mail.docx", "A 24374-2026")</f>
        <v/>
      </c>
      <c r="AC18">
        <f>HYPERLINK("https://klasma.github.io/Logging_1864/tillsyn/A 24374-2026 tillsynsbegäran.docx", "A 24374-2026")</f>
        <v/>
      </c>
      <c r="AD18">
        <f>HYPERLINK("https://klasma.github.io/Logging_1864/tillsynsmail/A 24374-2026 tillsynsbegäran mail.docx", "A 24374-2026")</f>
        <v/>
      </c>
    </row>
    <row r="19" ht="15" customHeight="1">
      <c r="A19" t="inlineStr">
        <is>
          <t>A 33193-2024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45518</v>
      </c>
      <c r="E19" s="1" t="n">
        <v>46313</v>
      </c>
      <c r="F19" t="inlineStr">
        <is>
          <t>ÖREBRO LÄN</t>
        </is>
      </c>
      <c r="G19" t="inlineStr">
        <is>
          <t>LJUSNARSBERG</t>
        </is>
      </c>
      <c r="I19" t="n">
        <v>5.9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4</v>
      </c>
      <c r="U19" t="n">
        <v>4</v>
      </c>
      <c r="V19" s="2" t="inlineStr">
        <is>
          <t>Dropptaggsvamp
Tjäder</t>
        </is>
      </c>
      <c r="W19">
        <f>HYPERLINK("https://klasma.github.io/Logging_1864/artfynd/A 33193-2024 artfynd.xlsx", "A 33193-2024")</f>
        <v/>
      </c>
      <c r="X19">
        <f>HYPERLINK("https://klasma.github.io/Logging_1864/kartor/A 33193-2024 karta.png", "A 33193-2024")</f>
        <v/>
      </c>
      <c r="Y19">
        <f>HYPERLINK("https://klasma.github.io/Logging_1864/kartor_geotiff/A 33193-2024 georefererad karta.tif", "A 33193-2024")</f>
        <v/>
      </c>
      <c r="AA19">
        <f>HYPERLINK("https://klasma.github.io/Logging_1864/klagomål/A 33193-2024 FSC-klagomål.docx", "A 33193-2024")</f>
        <v/>
      </c>
      <c r="AB19">
        <f>HYPERLINK("https://klasma.github.io/Logging_1864/klagomålsmail/A 33193-2024 FSC-klagomål mail.docx", "A 33193-2024")</f>
        <v/>
      </c>
      <c r="AC19">
        <f>HYPERLINK("https://klasma.github.io/Logging_1864/tillsyn/A 33193-2024 tillsynsbegäran.docx", "A 33193-2024")</f>
        <v/>
      </c>
      <c r="AD19">
        <f>HYPERLINK("https://klasma.github.io/Logging_1864/tillsynsmail/A 33193-2024 tillsynsbegäran mail.docx", "A 33193-2024")</f>
        <v/>
      </c>
      <c r="AE19">
        <f>HYPERLINK("https://klasma.github.io/Logging_1864/fåglar/A 33193-2024 prioriterade fågelarter.docx", "A 33193-2024")</f>
        <v/>
      </c>
    </row>
    <row r="20" ht="15" customHeight="1">
      <c r="A20" t="inlineStr">
        <is>
          <t>A 45536-2024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45578</v>
      </c>
      <c r="E20" s="1" t="n">
        <v>46313</v>
      </c>
      <c r="F20" t="inlineStr">
        <is>
          <t>ÖREBRO LÄN</t>
        </is>
      </c>
      <c r="G20" t="inlineStr">
        <is>
          <t>LJUSNARSBERG</t>
        </is>
      </c>
      <c r="H20" t="inlineStr">
        <is>
          <t>Bergvik skog väst AB</t>
        </is>
      </c>
      <c r="I20" t="n">
        <v>5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6</v>
      </c>
      <c r="U20" t="n">
        <v>6</v>
      </c>
      <c r="V20" s="2" t="inlineStr">
        <is>
          <t>Tvåblad
Fläcknycklar</t>
        </is>
      </c>
      <c r="W20">
        <f>HYPERLINK("https://klasma.github.io/Logging_1864/artfynd/A 45536-2024 artfynd.xlsx", "A 45536-2024")</f>
        <v/>
      </c>
      <c r="X20">
        <f>HYPERLINK("https://klasma.github.io/Logging_1864/kartor/A 45536-2024 karta.png", "A 45536-2024")</f>
        <v/>
      </c>
      <c r="Y20">
        <f>HYPERLINK("https://klasma.github.io/Logging_1864/kartor_geotiff/A 45536-2024 georefererad karta.tif", "A 45536-2024")</f>
        <v/>
      </c>
      <c r="AA20">
        <f>HYPERLINK("https://klasma.github.io/Logging_1864/klagomål/A 45536-2024 FSC-klagomål.docx", "A 45536-2024")</f>
        <v/>
      </c>
      <c r="AB20">
        <f>HYPERLINK("https://klasma.github.io/Logging_1864/klagomålsmail/A 45536-2024 FSC-klagomål mail.docx", "A 45536-2024")</f>
        <v/>
      </c>
      <c r="AC20">
        <f>HYPERLINK("https://klasma.github.io/Logging_1864/tillsyn/A 45536-2024 tillsynsbegäran.docx", "A 45536-2024")</f>
        <v/>
      </c>
      <c r="AD20">
        <f>HYPERLINK("https://klasma.github.io/Logging_1864/tillsynsmail/A 45536-2024 tillsynsbegäran mail.docx", "A 45536-2024")</f>
        <v/>
      </c>
    </row>
    <row r="21" ht="15" customHeight="1">
      <c r="A21" t="inlineStr">
        <is>
          <t>A 39514-2025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45890</v>
      </c>
      <c r="E21" s="1" t="n">
        <v>46313</v>
      </c>
      <c r="F21" t="inlineStr">
        <is>
          <t>ÖREBRO LÄN</t>
        </is>
      </c>
      <c r="G21" t="inlineStr">
        <is>
          <t>LJUSNARSBERG</t>
        </is>
      </c>
      <c r="H21" t="inlineStr">
        <is>
          <t>Bergvik skog väst AB</t>
        </is>
      </c>
      <c r="I21" t="n">
        <v>10.8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0</v>
      </c>
      <c r="V21" s="2" t="inlineStr">
        <is>
          <t>Nattviol</t>
        </is>
      </c>
      <c r="W21">
        <f>HYPERLINK("https://klasma.github.io/Logging_1864/artfynd/A 39514-2025 artfynd.xlsx", "A 39514-2025")</f>
        <v/>
      </c>
      <c r="X21">
        <f>HYPERLINK("https://klasma.github.io/Logging_1864/kartor/A 39514-2025 karta.png", "A 39514-2025")</f>
        <v/>
      </c>
      <c r="Y21">
        <f>HYPERLINK("https://klasma.github.io/Logging_1864/kartor_geotiff/A 39514-2025 georefererad karta.tif", "A 39514-2025")</f>
        <v/>
      </c>
      <c r="AA21">
        <f>HYPERLINK("https://klasma.github.io/Logging_1864/klagomål/A 39514-2025 FSC-klagomål.docx", "A 39514-2025")</f>
        <v/>
      </c>
      <c r="AB21">
        <f>HYPERLINK("https://klasma.github.io/Logging_1864/klagomålsmail/A 39514-2025 FSC-klagomål mail.docx", "A 39514-2025")</f>
        <v/>
      </c>
      <c r="AC21">
        <f>HYPERLINK("https://klasma.github.io/Logging_1864/tillsyn/A 39514-2025 tillsynsbegäran.docx", "A 39514-2025")</f>
        <v/>
      </c>
      <c r="AD21">
        <f>HYPERLINK("https://klasma.github.io/Logging_1864/tillsynsmail/A 39514-2025 tillsynsbegäran mail.docx", "A 39514-2025")</f>
        <v/>
      </c>
    </row>
    <row r="22" ht="15" customHeight="1">
      <c r="A22" t="inlineStr">
        <is>
          <t>A 24791-2024</t>
        </is>
      </c>
      <c r="B22" t="inlineStr">
        <is>
          <t>avverkningsanmälan</t>
        </is>
      </c>
      <c r="C22" t="inlineStr">
        <is>
          <t>Avverkning för annat ändamål</t>
        </is>
      </c>
      <c r="D22" s="1" t="n">
        <v>45460</v>
      </c>
      <c r="E22" s="1" t="n">
        <v>46313</v>
      </c>
      <c r="F22" t="inlineStr">
        <is>
          <t>ÖREBRO LÄN</t>
        </is>
      </c>
      <c r="G22" t="inlineStr">
        <is>
          <t>LJUSNARSBERG</t>
        </is>
      </c>
      <c r="I22" t="n">
        <v>3.9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3</v>
      </c>
      <c r="U22" t="n">
        <v>3</v>
      </c>
      <c r="V22" s="2" t="inlineStr">
        <is>
          <t>Spillkråka</t>
        </is>
      </c>
      <c r="W22">
        <f>HYPERLINK("https://klasma.github.io/Logging_1864/artfynd/A 24791-2024 artfynd.xlsx", "A 24791-2024")</f>
        <v/>
      </c>
      <c r="X22">
        <f>HYPERLINK("https://klasma.github.io/Logging_1864/kartor/A 24791-2024 karta.png", "A 24791-2024")</f>
        <v/>
      </c>
      <c r="Y22">
        <f>HYPERLINK("https://klasma.github.io/Logging_1864/kartor_geotiff/A 24791-2024 georefererad karta.tif", "A 24791-2024")</f>
        <v/>
      </c>
      <c r="AA22">
        <f>HYPERLINK("https://klasma.github.io/Logging_1864/klagomål/A 24791-2024 FSC-klagomål.docx", "A 24791-2024")</f>
        <v/>
      </c>
      <c r="AB22">
        <f>HYPERLINK("https://klasma.github.io/Logging_1864/klagomålsmail/A 24791-2024 FSC-klagomål mail.docx", "A 24791-2024")</f>
        <v/>
      </c>
      <c r="AC22">
        <f>HYPERLINK("https://klasma.github.io/Logging_1864/tillsyn/A 24791-2024 tillsynsbegäran.docx", "A 24791-2024")</f>
        <v/>
      </c>
      <c r="AD22">
        <f>HYPERLINK("https://klasma.github.io/Logging_1864/tillsynsmail/A 24791-2024 tillsynsbegäran mail.docx", "A 24791-2024")</f>
        <v/>
      </c>
      <c r="AE22">
        <f>HYPERLINK("https://klasma.github.io/Logging_1864/fåglar/A 24791-2024 prioriterade fågelarter.docx", "A 24791-2024")</f>
        <v/>
      </c>
    </row>
    <row r="23" ht="15" customHeight="1">
      <c r="A23" t="inlineStr">
        <is>
          <t>A 18857-2026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46127</v>
      </c>
      <c r="E23" s="1" t="n">
        <v>46313</v>
      </c>
      <c r="F23" t="inlineStr">
        <is>
          <t>ÖREBRO LÄN</t>
        </is>
      </c>
      <c r="G23" t="inlineStr">
        <is>
          <t>LJUSNARSBERG</t>
        </is>
      </c>
      <c r="I23" t="n">
        <v>5.1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Trana</t>
        </is>
      </c>
      <c r="W23">
        <f>HYPERLINK("https://klasma.github.io/Logging_1864/artfynd/A 18857-2026 artfynd.xlsx", "A 18857-2026")</f>
        <v/>
      </c>
      <c r="X23">
        <f>HYPERLINK("https://klasma.github.io/Logging_1864/kartor/A 18857-2026 karta.png", "A 18857-2026")</f>
        <v/>
      </c>
      <c r="Y23">
        <f>HYPERLINK("https://klasma.github.io/Logging_1864/kartor_geotiff/A 18857-2026 georefererad karta.tif", "A 18857-2026")</f>
        <v/>
      </c>
      <c r="AA23">
        <f>HYPERLINK("https://klasma.github.io/Logging_1864/klagomål/A 18857-2026 FSC-klagomål.docx", "A 18857-2026")</f>
        <v/>
      </c>
      <c r="AB23">
        <f>HYPERLINK("https://klasma.github.io/Logging_1864/klagomålsmail/A 18857-2026 FSC-klagomål mail.docx", "A 18857-2026")</f>
        <v/>
      </c>
      <c r="AC23">
        <f>HYPERLINK("https://klasma.github.io/Logging_1864/tillsyn/A 18857-2026 tillsynsbegäran.docx", "A 18857-2026")</f>
        <v/>
      </c>
      <c r="AD23">
        <f>HYPERLINK("https://klasma.github.io/Logging_1864/tillsynsmail/A 18857-2026 tillsynsbegäran mail.docx", "A 18857-2026")</f>
        <v/>
      </c>
      <c r="AE23">
        <f>HYPERLINK("https://klasma.github.io/Logging_1864/fåglar/A 18857-2026 prioriterade fågelarter.docx", "A 18857-2026")</f>
        <v/>
      </c>
    </row>
    <row r="24" ht="15" customHeight="1">
      <c r="A24" t="inlineStr">
        <is>
          <t>A 56859-2025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45975</v>
      </c>
      <c r="E24" s="1" t="n">
        <v>46313</v>
      </c>
      <c r="F24" t="inlineStr">
        <is>
          <t>ÖREBRO LÄN</t>
        </is>
      </c>
      <c r="G24" t="inlineStr">
        <is>
          <t>LJUSNARSBERG</t>
        </is>
      </c>
      <c r="H24" t="inlineStr">
        <is>
          <t>Bergvik skog väst AB</t>
        </is>
      </c>
      <c r="I24" t="n">
        <v>2.6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Större vattensalamander</t>
        </is>
      </c>
      <c r="W24">
        <f>HYPERLINK("https://klasma.github.io/Logging_1864/artfynd/A 56859-2025 artfynd.xlsx", "A 56859-2025")</f>
        <v/>
      </c>
      <c r="X24">
        <f>HYPERLINK("https://klasma.github.io/Logging_1864/kartor/A 56859-2025 karta.png", "A 56859-2025")</f>
        <v/>
      </c>
      <c r="Y24">
        <f>HYPERLINK("https://klasma.github.io/Logging_1864/kartor_geotiff/A 56859-2025 georefererad karta.tif", "A 56859-2025")</f>
        <v/>
      </c>
      <c r="AA24">
        <f>HYPERLINK("https://klasma.github.io/Logging_1864/klagomål/A 56859-2025 FSC-klagomål.docx", "A 56859-2025")</f>
        <v/>
      </c>
      <c r="AB24">
        <f>HYPERLINK("https://klasma.github.io/Logging_1864/klagomålsmail/A 56859-2025 FSC-klagomål mail.docx", "A 56859-2025")</f>
        <v/>
      </c>
      <c r="AC24">
        <f>HYPERLINK("https://klasma.github.io/Logging_1864/tillsyn/A 56859-2025 tillsynsbegäran.docx", "A 56859-2025")</f>
        <v/>
      </c>
      <c r="AD24">
        <f>HYPERLINK("https://klasma.github.io/Logging_1864/tillsynsmail/A 56859-2025 tillsynsbegäran mail.docx", "A 56859-2025")</f>
        <v/>
      </c>
    </row>
    <row r="25" ht="15" customHeight="1">
      <c r="A25" t="inlineStr">
        <is>
          <t>A 24348-2026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46167</v>
      </c>
      <c r="E25" s="1" t="n">
        <v>46313</v>
      </c>
      <c r="F25" t="inlineStr">
        <is>
          <t>ÖREBRO LÄN</t>
        </is>
      </c>
      <c r="G25" t="inlineStr">
        <is>
          <t>LJUSNARSBERG</t>
        </is>
      </c>
      <c r="I25" t="n">
        <v>4.8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Spillkråka</t>
        </is>
      </c>
      <c r="W25">
        <f>HYPERLINK("https://klasma.github.io/Logging_1864/artfynd/A 24348-2026 artfynd.xlsx", "A 24348-2026")</f>
        <v/>
      </c>
      <c r="X25">
        <f>HYPERLINK("https://klasma.github.io/Logging_1864/kartor/A 24348-2026 karta.png", "A 24348-2026")</f>
        <v/>
      </c>
      <c r="Y25">
        <f>HYPERLINK("https://klasma.github.io/Logging_1864/kartor_geotiff/A 24348-2026 georefererad karta.tif", "A 24348-2026")</f>
        <v/>
      </c>
      <c r="AA25">
        <f>HYPERLINK("https://klasma.github.io/Logging_1864/klagomål/A 24348-2026 FSC-klagomål.docx", "A 24348-2026")</f>
        <v/>
      </c>
      <c r="AB25">
        <f>HYPERLINK("https://klasma.github.io/Logging_1864/klagomålsmail/A 24348-2026 FSC-klagomål mail.docx", "A 24348-2026")</f>
        <v/>
      </c>
      <c r="AC25">
        <f>HYPERLINK("https://klasma.github.io/Logging_1864/tillsyn/A 24348-2026 tillsynsbegäran.docx", "A 24348-2026")</f>
        <v/>
      </c>
      <c r="AD25">
        <f>HYPERLINK("https://klasma.github.io/Logging_1864/tillsynsmail/A 24348-2026 tillsynsbegäran mail.docx", "A 24348-2026")</f>
        <v/>
      </c>
      <c r="AE25">
        <f>HYPERLINK("https://klasma.github.io/Logging_1864/fåglar/A 24348-2026 prioriterade fågelarter.docx", "A 24348-2026")</f>
        <v/>
      </c>
    </row>
    <row r="26" ht="15" customHeight="1">
      <c r="A26" t="inlineStr">
        <is>
          <t>A 45537-2024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45578</v>
      </c>
      <c r="E26" s="1" t="n">
        <v>46313</v>
      </c>
      <c r="F26" t="inlineStr">
        <is>
          <t>ÖREBRO LÄN</t>
        </is>
      </c>
      <c r="G26" t="inlineStr">
        <is>
          <t>LJUSNARSBERG</t>
        </is>
      </c>
      <c r="H26" t="inlineStr">
        <is>
          <t>Bergvik skog väst AB</t>
        </is>
      </c>
      <c r="I26" t="n">
        <v>4.3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2</v>
      </c>
      <c r="V26" s="2" t="inlineStr">
        <is>
          <t>Fläcknycklar</t>
        </is>
      </c>
      <c r="W26">
        <f>HYPERLINK("https://klasma.github.io/Logging_1864/artfynd/A 45537-2024 artfynd.xlsx", "A 45537-2024")</f>
        <v/>
      </c>
      <c r="X26">
        <f>HYPERLINK("https://klasma.github.io/Logging_1864/kartor/A 45537-2024 karta.png", "A 45537-2024")</f>
        <v/>
      </c>
      <c r="Y26">
        <f>HYPERLINK("https://klasma.github.io/Logging_1864/kartor_geotiff/A 45537-2024 georefererad karta.tif", "A 45537-2024")</f>
        <v/>
      </c>
      <c r="AA26">
        <f>HYPERLINK("https://klasma.github.io/Logging_1864/klagomål/A 45537-2024 FSC-klagomål.docx", "A 45537-2024")</f>
        <v/>
      </c>
      <c r="AB26">
        <f>HYPERLINK("https://klasma.github.io/Logging_1864/klagomålsmail/A 45537-2024 FSC-klagomål mail.docx", "A 45537-2024")</f>
        <v/>
      </c>
      <c r="AC26">
        <f>HYPERLINK("https://klasma.github.io/Logging_1864/tillsyn/A 45537-2024 tillsynsbegäran.docx", "A 45537-2024")</f>
        <v/>
      </c>
      <c r="AD26">
        <f>HYPERLINK("https://klasma.github.io/Logging_1864/tillsynsmail/A 45537-2024 tillsynsbegäran mail.docx", "A 45537-2024")</f>
        <v/>
      </c>
    </row>
    <row r="27" ht="15" customHeight="1">
      <c r="A27" t="inlineStr">
        <is>
          <t>A 20797-2022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44701</v>
      </c>
      <c r="E27" s="1" t="n">
        <v>46313</v>
      </c>
      <c r="F27" t="inlineStr">
        <is>
          <t>ÖREBRO LÄN</t>
        </is>
      </c>
      <c r="G27" t="inlineStr">
        <is>
          <t>LJUSNARSBERG</t>
        </is>
      </c>
      <c r="H27" t="inlineStr">
        <is>
          <t>Bergvik skog väst AB</t>
        </is>
      </c>
      <c r="I27" t="n">
        <v>1.6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Fläcknycklar</t>
        </is>
      </c>
      <c r="W27">
        <f>HYPERLINK("https://klasma.github.io/Logging_1864/artfynd/A 20797-2022 artfynd.xlsx", "A 20797-2022")</f>
        <v/>
      </c>
      <c r="X27">
        <f>HYPERLINK("https://klasma.github.io/Logging_1864/kartor/A 20797-2022 karta.png", "A 20797-2022")</f>
        <v/>
      </c>
      <c r="Y27">
        <f>HYPERLINK("https://klasma.github.io/Logging_1864/kartor_geotiff/A 20797-2022 georefererad karta.tif", "A 20797-2022")</f>
        <v/>
      </c>
      <c r="AA27">
        <f>HYPERLINK("https://klasma.github.io/Logging_1864/klagomål/A 20797-2022 FSC-klagomål.docx", "A 20797-2022")</f>
        <v/>
      </c>
      <c r="AB27">
        <f>HYPERLINK("https://klasma.github.io/Logging_1864/klagomålsmail/A 20797-2022 FSC-klagomål mail.docx", "A 20797-2022")</f>
        <v/>
      </c>
      <c r="AC27">
        <f>HYPERLINK("https://klasma.github.io/Logging_1864/tillsyn/A 20797-2022 tillsynsbegäran.docx", "A 20797-2022")</f>
        <v/>
      </c>
      <c r="AD27">
        <f>HYPERLINK("https://klasma.github.io/Logging_1864/tillsynsmail/A 20797-2022 tillsynsbegäran mail.docx", "A 20797-2022")</f>
        <v/>
      </c>
    </row>
    <row r="28" ht="15" customHeight="1">
      <c r="A28" t="inlineStr">
        <is>
          <t>A 39095-2022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44817</v>
      </c>
      <c r="E28" s="1" t="n">
        <v>46313</v>
      </c>
      <c r="F28" t="inlineStr">
        <is>
          <t>ÖREBRO LÄN</t>
        </is>
      </c>
      <c r="G28" t="inlineStr">
        <is>
          <t>LJUSNARSBERG</t>
        </is>
      </c>
      <c r="H28" t="inlineStr">
        <is>
          <t>Bergvik skog väst AB</t>
        </is>
      </c>
      <c r="I28" t="n">
        <v>4.8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Mattlummer</t>
        </is>
      </c>
      <c r="W28">
        <f>HYPERLINK("https://klasma.github.io/Logging_1864/artfynd/A 39095-2022 artfynd.xlsx", "A 39095-2022")</f>
        <v/>
      </c>
      <c r="X28">
        <f>HYPERLINK("https://klasma.github.io/Logging_1864/kartor/A 39095-2022 karta.png", "A 39095-2022")</f>
        <v/>
      </c>
      <c r="Y28">
        <f>HYPERLINK("https://klasma.github.io/Logging_1864/kartor_geotiff/A 39095-2022 georefererad karta.tif", "A 39095-2022")</f>
        <v/>
      </c>
      <c r="AA28">
        <f>HYPERLINK("https://klasma.github.io/Logging_1864/klagomål/A 39095-2022 FSC-klagomål.docx", "A 39095-2022")</f>
        <v/>
      </c>
      <c r="AB28">
        <f>HYPERLINK("https://klasma.github.io/Logging_1864/klagomålsmail/A 39095-2022 FSC-klagomål mail.docx", "A 39095-2022")</f>
        <v/>
      </c>
      <c r="AC28">
        <f>HYPERLINK("https://klasma.github.io/Logging_1864/tillsyn/A 39095-2022 tillsynsbegäran.docx", "A 39095-2022")</f>
        <v/>
      </c>
      <c r="AD28">
        <f>HYPERLINK("https://klasma.github.io/Logging_1864/tillsynsmail/A 39095-2022 tillsynsbegäran mail.docx", "A 39095-2022")</f>
        <v/>
      </c>
    </row>
    <row r="29" ht="15" customHeight="1">
      <c r="A29" t="inlineStr">
        <is>
          <t>S 3758-2024</t>
        </is>
      </c>
      <c r="B29" t="inlineStr">
        <is>
          <t>samrådsanmälan</t>
        </is>
      </c>
      <c r="C29" t="inlineStr">
        <is>
          <t>Annan skogsbruksåtgärd</t>
        </is>
      </c>
      <c r="D29" s="1" t="n">
        <v>45555</v>
      </c>
      <c r="E29" s="1" t="n">
        <v>46313</v>
      </c>
      <c r="F29" t="inlineStr">
        <is>
          <t>ÖREBRO LÄN</t>
        </is>
      </c>
      <c r="G29" t="inlineStr">
        <is>
          <t>LJUSNARSBERG</t>
        </is>
      </c>
      <c r="H29" t="inlineStr">
        <is>
          <t>Bergvik skog väst AB</t>
        </is>
      </c>
      <c r="I29" t="n">
        <v>14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Bårdlav</t>
        </is>
      </c>
      <c r="W29">
        <f>HYPERLINK("https://klasma.github.io/Logging_1864/artfynd/S 3758-2024 artfynd.xlsx", "S 3758-2024")</f>
        <v/>
      </c>
      <c r="X29">
        <f>HYPERLINK("https://klasma.github.io/Logging_1864/kartor/S 3758-2024 karta.png", "S 3758-2024")</f>
        <v/>
      </c>
      <c r="Y29">
        <f>HYPERLINK("https://klasma.github.io/Logging_1864/kartor_geotiff/S 3758-2024 georefererad karta.tif", "S 3758-2024")</f>
        <v/>
      </c>
      <c r="AA29">
        <f>HYPERLINK("https://klasma.github.io/Logging_1864/klagomål/S 3758-2024 FSC-klagomål.docx", "S 3758-2024")</f>
        <v/>
      </c>
      <c r="AB29">
        <f>HYPERLINK("https://klasma.github.io/Logging_1864/klagomålsmail/S 3758-2024 FSC-klagomål mail.docx", "S 3758-2024")</f>
        <v/>
      </c>
      <c r="AC29">
        <f>HYPERLINK("https://klasma.github.io/Logging_1864/tillsyn/S 3758-2024 tillsynsbegäran.docx", "S 3758-2024")</f>
        <v/>
      </c>
      <c r="AD29">
        <f>HYPERLINK("https://klasma.github.io/Logging_1864/tillsynsmail/S 3758-2024 tillsynsbegäran mail.docx", "S 3758-2024")</f>
        <v/>
      </c>
    </row>
    <row r="30" ht="15" customHeight="1">
      <c r="A30" t="inlineStr">
        <is>
          <t>A 64400-2021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44511</v>
      </c>
      <c r="E30" s="1" t="n">
        <v>46313</v>
      </c>
      <c r="F30" t="inlineStr">
        <is>
          <t>ÖREBRO LÄN</t>
        </is>
      </c>
      <c r="G30" t="inlineStr">
        <is>
          <t>LJUSNARSBERG</t>
        </is>
      </c>
      <c r="I30" t="n">
        <v>0.6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72157-2021</t>
        </is>
      </c>
      <c r="B31" t="inlineStr">
        <is>
          <t>avverkningsanmälan</t>
        </is>
      </c>
      <c r="C31" t="inlineStr">
        <is>
          <t>Avverkning för annat ändamål</t>
        </is>
      </c>
      <c r="D31" s="1" t="n">
        <v>44544</v>
      </c>
      <c r="E31" s="1" t="n">
        <v>46313</v>
      </c>
      <c r="F31" t="inlineStr">
        <is>
          <t>ÖREBRO LÄN</t>
        </is>
      </c>
      <c r="G31" t="inlineStr">
        <is>
          <t>LJUSNARSBERG</t>
        </is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64978-2021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44513</v>
      </c>
      <c r="E32" s="1" t="n">
        <v>46313</v>
      </c>
      <c r="F32" t="inlineStr">
        <is>
          <t>ÖREBRO LÄN</t>
        </is>
      </c>
      <c r="G32" t="inlineStr">
        <is>
          <t>LJUSNARSBERG</t>
        </is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1320-2022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44572</v>
      </c>
      <c r="E33" s="1" t="n">
        <v>46313</v>
      </c>
      <c r="F33" t="inlineStr">
        <is>
          <t>ÖREBRO LÄN</t>
        </is>
      </c>
      <c r="G33" t="inlineStr">
        <is>
          <t>LJUSNARSBERG</t>
        </is>
      </c>
      <c r="I33" t="n">
        <v>1.6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5636-2022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44595</v>
      </c>
      <c r="E34" s="1" t="n">
        <v>46313</v>
      </c>
      <c r="F34" t="inlineStr">
        <is>
          <t>ÖREBRO LÄN</t>
        </is>
      </c>
      <c r="G34" t="inlineStr">
        <is>
          <t>LJUSNARSBERG</t>
        </is>
      </c>
      <c r="I34" t="n">
        <v>0.7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25773-2022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44733</v>
      </c>
      <c r="E35" s="1" t="n">
        <v>46313</v>
      </c>
      <c r="F35" t="inlineStr">
        <is>
          <t>ÖREBRO LÄN</t>
        </is>
      </c>
      <c r="G35" t="inlineStr">
        <is>
          <t>LJUSNARSBERG</t>
        </is>
      </c>
      <c r="I35" t="n">
        <v>3.8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38276-2022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44812</v>
      </c>
      <c r="E36" s="1" t="n">
        <v>46313</v>
      </c>
      <c r="F36" t="inlineStr">
        <is>
          <t>ÖREBRO LÄN</t>
        </is>
      </c>
      <c r="G36" t="inlineStr">
        <is>
          <t>LJUSNARSBERG</t>
        </is>
      </c>
      <c r="I36" t="n">
        <v>0.6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35976-2022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44690</v>
      </c>
      <c r="E37" s="1" t="n">
        <v>46313</v>
      </c>
      <c r="F37" t="inlineStr">
        <is>
          <t>ÖREBRO LÄN</t>
        </is>
      </c>
      <c r="G37" t="inlineStr">
        <is>
          <t>LJUSNARSBERG</t>
        </is>
      </c>
      <c r="H37" t="inlineStr">
        <is>
          <t>Bergvik skog väst AB</t>
        </is>
      </c>
      <c r="I37" t="n">
        <v>0.7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50552-2022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44866</v>
      </c>
      <c r="E38" s="1" t="n">
        <v>46313</v>
      </c>
      <c r="F38" t="inlineStr">
        <is>
          <t>ÖREBRO LÄN</t>
        </is>
      </c>
      <c r="G38" t="inlineStr">
        <is>
          <t>LJUSNARSBERG</t>
        </is>
      </c>
      <c r="I38" t="n">
        <v>0.7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33858-2022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44790</v>
      </c>
      <c r="E39" s="1" t="n">
        <v>46313</v>
      </c>
      <c r="F39" t="inlineStr">
        <is>
          <t>ÖREBRO LÄN</t>
        </is>
      </c>
      <c r="G39" t="inlineStr">
        <is>
          <t>LJUSNARSBERG</t>
        </is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31998-2022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44778</v>
      </c>
      <c r="E40" s="1" t="n">
        <v>46313</v>
      </c>
      <c r="F40" t="inlineStr">
        <is>
          <t>ÖREBRO LÄN</t>
        </is>
      </c>
      <c r="G40" t="inlineStr">
        <is>
          <t>LJUSNARSBERG</t>
        </is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38277-2022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44812</v>
      </c>
      <c r="E41" s="1" t="n">
        <v>46313</v>
      </c>
      <c r="F41" t="inlineStr">
        <is>
          <t>ÖREBRO LÄN</t>
        </is>
      </c>
      <c r="G41" t="inlineStr">
        <is>
          <t>LJUSNARSBERG</t>
        </is>
      </c>
      <c r="I41" t="n">
        <v>5.1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61794-2024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45649</v>
      </c>
      <c r="E42" s="1" t="n">
        <v>46313</v>
      </c>
      <c r="F42" t="inlineStr">
        <is>
          <t>ÖREBRO LÄN</t>
        </is>
      </c>
      <c r="G42" t="inlineStr">
        <is>
          <t>LJUSNARSBERG</t>
        </is>
      </c>
      <c r="H42" t="inlineStr">
        <is>
          <t>Bergvik skog väst AB</t>
        </is>
      </c>
      <c r="I42" t="n">
        <v>5.3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25574-2023</t>
        </is>
      </c>
      <c r="B43" t="inlineStr">
        <is>
          <t>avverkningsanmälan</t>
        </is>
      </c>
      <c r="C43" t="inlineStr">
        <is>
          <t>Avverkning för annat ändamål</t>
        </is>
      </c>
      <c r="D43" s="1" t="n">
        <v>45089</v>
      </c>
      <c r="E43" s="1" t="n">
        <v>46313</v>
      </c>
      <c r="F43" t="inlineStr">
        <is>
          <t>ÖREBRO LÄN</t>
        </is>
      </c>
      <c r="G43" t="inlineStr">
        <is>
          <t>LJUSNARSBERG</t>
        </is>
      </c>
      <c r="H43" t="inlineStr">
        <is>
          <t>Sveaskog</t>
        </is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30774-2023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45112</v>
      </c>
      <c r="E44" s="1" t="n">
        <v>46313</v>
      </c>
      <c r="F44" t="inlineStr">
        <is>
          <t>ÖREBRO LÄN</t>
        </is>
      </c>
      <c r="G44" t="inlineStr">
        <is>
          <t>LJUSNARSBERG</t>
        </is>
      </c>
      <c r="I44" t="n">
        <v>1.2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62810-2021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44503</v>
      </c>
      <c r="E45" s="1" t="n">
        <v>46313</v>
      </c>
      <c r="F45" t="inlineStr">
        <is>
          <t>ÖREBRO LÄN</t>
        </is>
      </c>
      <c r="G45" t="inlineStr">
        <is>
          <t>LJUSNARSBERG</t>
        </is>
      </c>
      <c r="H45" t="inlineStr">
        <is>
          <t>Bergvik skog väst AB</t>
        </is>
      </c>
      <c r="I45" t="n">
        <v>5.7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46805-2024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45583</v>
      </c>
      <c r="E46" s="1" t="n">
        <v>46313</v>
      </c>
      <c r="F46" t="inlineStr">
        <is>
          <t>ÖREBRO LÄN</t>
        </is>
      </c>
      <c r="G46" t="inlineStr">
        <is>
          <t>LJUSNARSBERG</t>
        </is>
      </c>
      <c r="H46" t="inlineStr">
        <is>
          <t>Bergvik skog väst AB</t>
        </is>
      </c>
      <c r="I46" t="n">
        <v>3.1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61580-2023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45265</v>
      </c>
      <c r="E47" s="1" t="n">
        <v>46313</v>
      </c>
      <c r="F47" t="inlineStr">
        <is>
          <t>ÖREBRO LÄN</t>
        </is>
      </c>
      <c r="G47" t="inlineStr">
        <is>
          <t>LJUSNARSBERG</t>
        </is>
      </c>
      <c r="I47" t="n">
        <v>2.5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17923-2024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45419</v>
      </c>
      <c r="E48" s="1" t="n">
        <v>46313</v>
      </c>
      <c r="F48" t="inlineStr">
        <is>
          <t>ÖREBRO LÄN</t>
        </is>
      </c>
      <c r="G48" t="inlineStr">
        <is>
          <t>LJUSNARSBERG</t>
        </is>
      </c>
      <c r="I48" t="n">
        <v>0.6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17924-2024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45419</v>
      </c>
      <c r="E49" s="1" t="n">
        <v>46313</v>
      </c>
      <c r="F49" t="inlineStr">
        <is>
          <t>ÖREBRO LÄN</t>
        </is>
      </c>
      <c r="G49" t="inlineStr">
        <is>
          <t>LJUSNARSBERG</t>
        </is>
      </c>
      <c r="I49" t="n">
        <v>1.5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62843-2021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44503</v>
      </c>
      <c r="E50" s="1" t="n">
        <v>46313</v>
      </c>
      <c r="F50" t="inlineStr">
        <is>
          <t>ÖREBRO LÄN</t>
        </is>
      </c>
      <c r="G50" t="inlineStr">
        <is>
          <t>LJUSNARSBERG</t>
        </is>
      </c>
      <c r="H50" t="inlineStr">
        <is>
          <t>Bergvik skog väst AB</t>
        </is>
      </c>
      <c r="I50" t="n">
        <v>3.9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15114-2024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45399</v>
      </c>
      <c r="E51" s="1" t="n">
        <v>46313</v>
      </c>
      <c r="F51" t="inlineStr">
        <is>
          <t>ÖREBRO LÄN</t>
        </is>
      </c>
      <c r="G51" t="inlineStr">
        <is>
          <t>LJUSNARSBERG</t>
        </is>
      </c>
      <c r="I51" t="n">
        <v>1.4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26165-2022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44734</v>
      </c>
      <c r="E52" s="1" t="n">
        <v>46313</v>
      </c>
      <c r="F52" t="inlineStr">
        <is>
          <t>ÖREBRO LÄN</t>
        </is>
      </c>
      <c r="G52" t="inlineStr">
        <is>
          <t>LJUSNARSBERG</t>
        </is>
      </c>
      <c r="H52" t="inlineStr">
        <is>
          <t>Bergvik skog väst AB</t>
        </is>
      </c>
      <c r="I52" t="n">
        <v>2.3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12489-2023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44999</v>
      </c>
      <c r="E53" s="1" t="n">
        <v>46313</v>
      </c>
      <c r="F53" t="inlineStr">
        <is>
          <t>ÖREBRO LÄN</t>
        </is>
      </c>
      <c r="G53" t="inlineStr">
        <is>
          <t>LJUSNARSBERG</t>
        </is>
      </c>
      <c r="I53" t="n">
        <v>3.5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17933-2024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45419</v>
      </c>
      <c r="E54" s="1" t="n">
        <v>46313</v>
      </c>
      <c r="F54" t="inlineStr">
        <is>
          <t>ÖREBRO LÄN</t>
        </is>
      </c>
      <c r="G54" t="inlineStr">
        <is>
          <t>LJUSNARSBERG</t>
        </is>
      </c>
      <c r="I54" t="n">
        <v>1.4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67746-2021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44524</v>
      </c>
      <c r="E55" s="1" t="n">
        <v>46313</v>
      </c>
      <c r="F55" t="inlineStr">
        <is>
          <t>ÖREBRO LÄN</t>
        </is>
      </c>
      <c r="G55" t="inlineStr">
        <is>
          <t>LJUSNARSBERG</t>
        </is>
      </c>
      <c r="I55" t="n">
        <v>1.7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59627-2024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45638</v>
      </c>
      <c r="E56" s="1" t="n">
        <v>46313</v>
      </c>
      <c r="F56" t="inlineStr">
        <is>
          <t>ÖREBRO LÄN</t>
        </is>
      </c>
      <c r="G56" t="inlineStr">
        <is>
          <t>LJUSNARSBERG</t>
        </is>
      </c>
      <c r="I56" t="n">
        <v>1.1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33974-2023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45124</v>
      </c>
      <c r="E57" s="1" t="n">
        <v>46313</v>
      </c>
      <c r="F57" t="inlineStr">
        <is>
          <t>ÖREBRO LÄN</t>
        </is>
      </c>
      <c r="G57" t="inlineStr">
        <is>
          <t>LJUSNARSBERG</t>
        </is>
      </c>
      <c r="H57" t="inlineStr">
        <is>
          <t>Bergvik skog väst AB</t>
        </is>
      </c>
      <c r="I57" t="n">
        <v>0.9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44780-2024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45574</v>
      </c>
      <c r="E58" s="1" t="n">
        <v>46313</v>
      </c>
      <c r="F58" t="inlineStr">
        <is>
          <t>ÖREBRO LÄN</t>
        </is>
      </c>
      <c r="G58" t="inlineStr">
        <is>
          <t>LJUSNARSBERG</t>
        </is>
      </c>
      <c r="H58" t="inlineStr">
        <is>
          <t>Bergvik skog väst AB</t>
        </is>
      </c>
      <c r="I58" t="n">
        <v>4.7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37148-2023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45155</v>
      </c>
      <c r="E59" s="1" t="n">
        <v>46313</v>
      </c>
      <c r="F59" t="inlineStr">
        <is>
          <t>ÖREBRO LÄN</t>
        </is>
      </c>
      <c r="G59" t="inlineStr">
        <is>
          <t>LJUSNARSBERG</t>
        </is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22887-2024</t>
        </is>
      </c>
      <c r="B60" t="inlineStr">
        <is>
          <t>avverkningsanmälan</t>
        </is>
      </c>
      <c r="C60" t="inlineStr">
        <is>
          <t>Avverkning för annat ändamål</t>
        </is>
      </c>
      <c r="D60" s="1" t="n">
        <v>45448</v>
      </c>
      <c r="E60" s="1" t="n">
        <v>46313</v>
      </c>
      <c r="F60" t="inlineStr">
        <is>
          <t>ÖREBRO LÄN</t>
        </is>
      </c>
      <c r="G60" t="inlineStr">
        <is>
          <t>LJUSNARSBERG</t>
        </is>
      </c>
      <c r="I60" t="n">
        <v>2.4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44983-2024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45575</v>
      </c>
      <c r="E61" s="1" t="n">
        <v>46313</v>
      </c>
      <c r="F61" t="inlineStr">
        <is>
          <t>ÖREBRO LÄN</t>
        </is>
      </c>
      <c r="G61" t="inlineStr">
        <is>
          <t>LJUSNARSBERG</t>
        </is>
      </c>
      <c r="H61" t="inlineStr">
        <is>
          <t>Bergvik skog väst AB</t>
        </is>
      </c>
      <c r="I61" t="n">
        <v>8.199999999999999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52366-2024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45608</v>
      </c>
      <c r="E62" s="1" t="n">
        <v>46313</v>
      </c>
      <c r="F62" t="inlineStr">
        <is>
          <t>ÖREBRO LÄN</t>
        </is>
      </c>
      <c r="G62" t="inlineStr">
        <is>
          <t>LJUSNARSBERG</t>
        </is>
      </c>
      <c r="H62" t="inlineStr">
        <is>
          <t>Bergvik skog väst AB</t>
        </is>
      </c>
      <c r="I62" t="n">
        <v>2.3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35151-2023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45145</v>
      </c>
      <c r="E63" s="1" t="n">
        <v>46313</v>
      </c>
      <c r="F63" t="inlineStr">
        <is>
          <t>ÖREBRO LÄN</t>
        </is>
      </c>
      <c r="G63" t="inlineStr">
        <is>
          <t>LJUSNARSBERG</t>
        </is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23346-2022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44720</v>
      </c>
      <c r="E64" s="1" t="n">
        <v>46313</v>
      </c>
      <c r="F64" t="inlineStr">
        <is>
          <t>ÖREBRO LÄN</t>
        </is>
      </c>
      <c r="G64" t="inlineStr">
        <is>
          <t>LJUSNARSBERG</t>
        </is>
      </c>
      <c r="H64" t="inlineStr">
        <is>
          <t>Bergvik skog väst AB</t>
        </is>
      </c>
      <c r="I64" t="n">
        <v>4.3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25098-2023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45086</v>
      </c>
      <c r="E65" s="1" t="n">
        <v>46313</v>
      </c>
      <c r="F65" t="inlineStr">
        <is>
          <t>ÖREBRO LÄN</t>
        </is>
      </c>
      <c r="G65" t="inlineStr">
        <is>
          <t>LJUSNARSBERG</t>
        </is>
      </c>
      <c r="H65" t="inlineStr">
        <is>
          <t>Bergvik skog väst AB</t>
        </is>
      </c>
      <c r="I65" t="n">
        <v>2.1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48353-2022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44858</v>
      </c>
      <c r="E66" s="1" t="n">
        <v>46313</v>
      </c>
      <c r="F66" t="inlineStr">
        <is>
          <t>ÖREBRO LÄN</t>
        </is>
      </c>
      <c r="G66" t="inlineStr">
        <is>
          <t>LJUSNARSBERG</t>
        </is>
      </c>
      <c r="I66" t="n">
        <v>4.5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25671-2024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45463</v>
      </c>
      <c r="E67" s="1" t="n">
        <v>46313</v>
      </c>
      <c r="F67" t="inlineStr">
        <is>
          <t>ÖREBRO LÄN</t>
        </is>
      </c>
      <c r="G67" t="inlineStr">
        <is>
          <t>LJUSNARSBERG</t>
        </is>
      </c>
      <c r="I67" t="n">
        <v>5.3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37066-2023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45155</v>
      </c>
      <c r="E68" s="1" t="n">
        <v>46313</v>
      </c>
      <c r="F68" t="inlineStr">
        <is>
          <t>ÖREBRO LÄN</t>
        </is>
      </c>
      <c r="G68" t="inlineStr">
        <is>
          <t>LJUSNARSBERG</t>
        </is>
      </c>
      <c r="I68" t="n">
        <v>0.9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17276-2023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45035</v>
      </c>
      <c r="E69" s="1" t="n">
        <v>46313</v>
      </c>
      <c r="F69" t="inlineStr">
        <is>
          <t>ÖREBRO LÄN</t>
        </is>
      </c>
      <c r="G69" t="inlineStr">
        <is>
          <t>LJUSNARSBERG</t>
        </is>
      </c>
      <c r="I69" t="n">
        <v>2.8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36108-2024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45533</v>
      </c>
      <c r="E70" s="1" t="n">
        <v>46313</v>
      </c>
      <c r="F70" t="inlineStr">
        <is>
          <t>ÖREBRO LÄN</t>
        </is>
      </c>
      <c r="G70" t="inlineStr">
        <is>
          <t>LJUSNARSBERG</t>
        </is>
      </c>
      <c r="I70" t="n">
        <v>2.3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46085-2024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45581</v>
      </c>
      <c r="E71" s="1" t="n">
        <v>46313</v>
      </c>
      <c r="F71" t="inlineStr">
        <is>
          <t>ÖREBRO LÄN</t>
        </is>
      </c>
      <c r="G71" t="inlineStr">
        <is>
          <t>LJUSNARSBERG</t>
        </is>
      </c>
      <c r="I71" t="n">
        <v>1.9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40477-2025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45895</v>
      </c>
      <c r="E72" s="1" t="n">
        <v>46313</v>
      </c>
      <c r="F72" t="inlineStr">
        <is>
          <t>ÖREBRO LÄN</t>
        </is>
      </c>
      <c r="G72" t="inlineStr">
        <is>
          <t>LJUSNARSBERG</t>
        </is>
      </c>
      <c r="H72" t="inlineStr">
        <is>
          <t>Bergvik skog väst AB</t>
        </is>
      </c>
      <c r="I72" t="n">
        <v>11.9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40477-2025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45895</v>
      </c>
      <c r="E73" s="1" t="n">
        <v>46313</v>
      </c>
      <c r="F73" t="inlineStr">
        <is>
          <t>ÖREBRO LÄN</t>
        </is>
      </c>
      <c r="G73" t="inlineStr">
        <is>
          <t>LJUSNARSBERG</t>
        </is>
      </c>
      <c r="H73" t="inlineStr">
        <is>
          <t>Bergvik skog väst AB</t>
        </is>
      </c>
      <c r="I73" t="n">
        <v>2.3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40933-2025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45897</v>
      </c>
      <c r="E74" s="1" t="n">
        <v>46313</v>
      </c>
      <c r="F74" t="inlineStr">
        <is>
          <t>ÖREBRO LÄN</t>
        </is>
      </c>
      <c r="G74" t="inlineStr">
        <is>
          <t>LJUSNARSBERG</t>
        </is>
      </c>
      <c r="H74" t="inlineStr">
        <is>
          <t>Bergvik skog väst AB</t>
        </is>
      </c>
      <c r="I74" t="n">
        <v>16.6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40852-2025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45897</v>
      </c>
      <c r="E75" s="1" t="n">
        <v>46313</v>
      </c>
      <c r="F75" t="inlineStr">
        <is>
          <t>ÖREBRO LÄN</t>
        </is>
      </c>
      <c r="G75" t="inlineStr">
        <is>
          <t>LJUSNARSBERG</t>
        </is>
      </c>
      <c r="H75" t="inlineStr">
        <is>
          <t>Bergvik skog väst AB</t>
        </is>
      </c>
      <c r="I75" t="n">
        <v>8.699999999999999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41032-2025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45897</v>
      </c>
      <c r="E76" s="1" t="n">
        <v>46313</v>
      </c>
      <c r="F76" t="inlineStr">
        <is>
          <t>ÖREBRO LÄN</t>
        </is>
      </c>
      <c r="G76" t="inlineStr">
        <is>
          <t>LJUSNARSBERG</t>
        </is>
      </c>
      <c r="H76" t="inlineStr">
        <is>
          <t>Bergvik skog väst AB</t>
        </is>
      </c>
      <c r="I76" t="n">
        <v>6.4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41017-2025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45897</v>
      </c>
      <c r="E77" s="1" t="n">
        <v>46313</v>
      </c>
      <c r="F77" t="inlineStr">
        <is>
          <t>ÖREBRO LÄN</t>
        </is>
      </c>
      <c r="G77" t="inlineStr">
        <is>
          <t>LJUSNARSBERG</t>
        </is>
      </c>
      <c r="H77" t="inlineStr">
        <is>
          <t>Bergvik skog väst AB</t>
        </is>
      </c>
      <c r="I77" t="n">
        <v>2.6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29595-2025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45825</v>
      </c>
      <c r="E78" s="1" t="n">
        <v>46313</v>
      </c>
      <c r="F78" t="inlineStr">
        <is>
          <t>ÖREBRO LÄN</t>
        </is>
      </c>
      <c r="G78" t="inlineStr">
        <is>
          <t>LJUSNARSBERG</t>
        </is>
      </c>
      <c r="I78" t="n">
        <v>3.1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40964-2025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45897</v>
      </c>
      <c r="E79" s="1" t="n">
        <v>46313</v>
      </c>
      <c r="F79" t="inlineStr">
        <is>
          <t>ÖREBRO LÄN</t>
        </is>
      </c>
      <c r="G79" t="inlineStr">
        <is>
          <t>LJUSNARSBERG</t>
        </is>
      </c>
      <c r="H79" t="inlineStr">
        <is>
          <t>Bergvik skog väst AB</t>
        </is>
      </c>
      <c r="I79" t="n">
        <v>1.3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59630-2024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45638</v>
      </c>
      <c r="E80" s="1" t="n">
        <v>46313</v>
      </c>
      <c r="F80" t="inlineStr">
        <is>
          <t>ÖREBRO LÄN</t>
        </is>
      </c>
      <c r="G80" t="inlineStr">
        <is>
          <t>LJUSNARSBERG</t>
        </is>
      </c>
      <c r="I80" t="n">
        <v>1.1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27343-2025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45812</v>
      </c>
      <c r="E81" s="1" t="n">
        <v>46313</v>
      </c>
      <c r="F81" t="inlineStr">
        <is>
          <t>ÖREBRO LÄN</t>
        </is>
      </c>
      <c r="G81" t="inlineStr">
        <is>
          <t>LJUSNARSBERG</t>
        </is>
      </c>
      <c r="H81" t="inlineStr">
        <is>
          <t>Sveaskog</t>
        </is>
      </c>
      <c r="I81" t="n">
        <v>1.6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31357-2025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45832</v>
      </c>
      <c r="E82" s="1" t="n">
        <v>46313</v>
      </c>
      <c r="F82" t="inlineStr">
        <is>
          <t>ÖREBRO LÄN</t>
        </is>
      </c>
      <c r="G82" t="inlineStr">
        <is>
          <t>LJUSNARSBERG</t>
        </is>
      </c>
      <c r="I82" t="n">
        <v>2.2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41383-2025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45898</v>
      </c>
      <c r="E83" s="1" t="n">
        <v>46313</v>
      </c>
      <c r="F83" t="inlineStr">
        <is>
          <t>ÖREBRO LÄN</t>
        </is>
      </c>
      <c r="G83" t="inlineStr">
        <is>
          <t>LJUSNARSBERG</t>
        </is>
      </c>
      <c r="H83" t="inlineStr">
        <is>
          <t>Bergvik skog väst AB</t>
        </is>
      </c>
      <c r="I83" t="n">
        <v>8.199999999999999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24921-2023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45085</v>
      </c>
      <c r="E84" s="1" t="n">
        <v>46313</v>
      </c>
      <c r="F84" t="inlineStr">
        <is>
          <t>ÖREBRO LÄN</t>
        </is>
      </c>
      <c r="G84" t="inlineStr">
        <is>
          <t>LJUSNARSBERG</t>
        </is>
      </c>
      <c r="I84" t="n">
        <v>0.6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41420-2025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45898</v>
      </c>
      <c r="E85" s="1" t="n">
        <v>46313</v>
      </c>
      <c r="F85" t="inlineStr">
        <is>
          <t>ÖREBRO LÄN</t>
        </is>
      </c>
      <c r="G85" t="inlineStr">
        <is>
          <t>LJUSNARSBERG</t>
        </is>
      </c>
      <c r="H85" t="inlineStr">
        <is>
          <t>Bergvik skog väst AB</t>
        </is>
      </c>
      <c r="I85" t="n">
        <v>18.1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42287-2025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45903</v>
      </c>
      <c r="E86" s="1" t="n">
        <v>46313</v>
      </c>
      <c r="F86" t="inlineStr">
        <is>
          <t>ÖREBRO LÄN</t>
        </is>
      </c>
      <c r="G86" t="inlineStr">
        <is>
          <t>LJUSNARSBERG</t>
        </is>
      </c>
      <c r="H86" t="inlineStr">
        <is>
          <t>Bergvik skog väst AB</t>
        </is>
      </c>
      <c r="I86" t="n">
        <v>10.3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43078-2025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45909</v>
      </c>
      <c r="E87" s="1" t="n">
        <v>46313</v>
      </c>
      <c r="F87" t="inlineStr">
        <is>
          <t>ÖREBRO LÄN</t>
        </is>
      </c>
      <c r="G87" t="inlineStr">
        <is>
          <t>LJUSNARSBERG</t>
        </is>
      </c>
      <c r="I87" t="n">
        <v>17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40864-2025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45897</v>
      </c>
      <c r="E88" s="1" t="n">
        <v>46313</v>
      </c>
      <c r="F88" t="inlineStr">
        <is>
          <t>ÖREBRO LÄN</t>
        </is>
      </c>
      <c r="G88" t="inlineStr">
        <is>
          <t>LJUSNARSBERG</t>
        </is>
      </c>
      <c r="H88" t="inlineStr">
        <is>
          <t>Bergvik skog väst AB</t>
        </is>
      </c>
      <c r="I88" t="n">
        <v>2.9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19368-2025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45769</v>
      </c>
      <c r="E89" s="1" t="n">
        <v>46313</v>
      </c>
      <c r="F89" t="inlineStr">
        <is>
          <t>ÖREBRO LÄN</t>
        </is>
      </c>
      <c r="G89" t="inlineStr">
        <is>
          <t>LJUSNARSBERG</t>
        </is>
      </c>
      <c r="H89" t="inlineStr">
        <is>
          <t>Bergvik skog väst AB</t>
        </is>
      </c>
      <c r="I89" t="n">
        <v>2.2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21202-2026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46146</v>
      </c>
      <c r="E90" s="1" t="n">
        <v>46313</v>
      </c>
      <c r="F90" t="inlineStr">
        <is>
          <t>ÖREBRO LÄN</t>
        </is>
      </c>
      <c r="G90" t="inlineStr">
        <is>
          <t>LJUSNARSBERG</t>
        </is>
      </c>
      <c r="I90" t="n">
        <v>1.7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21186-2026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46146</v>
      </c>
      <c r="E91" s="1" t="n">
        <v>46313</v>
      </c>
      <c r="F91" t="inlineStr">
        <is>
          <t>ÖREBRO LÄN</t>
        </is>
      </c>
      <c r="G91" t="inlineStr">
        <is>
          <t>LJUSNARSBERG</t>
        </is>
      </c>
      <c r="I91" t="n">
        <v>4.3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59497-2024</t>
        </is>
      </c>
      <c r="B92" t="inlineStr">
        <is>
          <t>avverkningsanmälan</t>
        </is>
      </c>
      <c r="C92" t="inlineStr">
        <is>
          <t>Avverkning för annat ändamål</t>
        </is>
      </c>
      <c r="D92" s="1" t="n">
        <v>45638</v>
      </c>
      <c r="E92" s="1" t="n">
        <v>46313</v>
      </c>
      <c r="F92" t="inlineStr">
        <is>
          <t>ÖREBRO LÄN</t>
        </is>
      </c>
      <c r="G92" t="inlineStr">
        <is>
          <t>LJUSNARSBERG</t>
        </is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33979-2023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45124</v>
      </c>
      <c r="E93" s="1" t="n">
        <v>46313</v>
      </c>
      <c r="F93" t="inlineStr">
        <is>
          <t>ÖREBRO LÄN</t>
        </is>
      </c>
      <c r="G93" t="inlineStr">
        <is>
          <t>LJUSNARSBERG</t>
        </is>
      </c>
      <c r="H93" t="inlineStr">
        <is>
          <t>Bergvik skog väst AB</t>
        </is>
      </c>
      <c r="I93" t="n">
        <v>4.8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46492-2025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45925</v>
      </c>
      <c r="E94" s="1" t="n">
        <v>46313</v>
      </c>
      <c r="F94" t="inlineStr">
        <is>
          <t>ÖREBRO LÄN</t>
        </is>
      </c>
      <c r="G94" t="inlineStr">
        <is>
          <t>LJUSNARSBERG</t>
        </is>
      </c>
      <c r="H94" t="inlineStr">
        <is>
          <t>Bergvik skog väst AB</t>
        </is>
      </c>
      <c r="I94" t="n">
        <v>6.7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41610-2025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45901</v>
      </c>
      <c r="E95" s="1" t="n">
        <v>46313</v>
      </c>
      <c r="F95" t="inlineStr">
        <is>
          <t>ÖREBRO LÄN</t>
        </is>
      </c>
      <c r="G95" t="inlineStr">
        <is>
          <t>LJUSNARSBERG</t>
        </is>
      </c>
      <c r="H95" t="inlineStr">
        <is>
          <t>Bergvik skog väst AB</t>
        </is>
      </c>
      <c r="I95" t="n">
        <v>1.9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48204-2025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45933</v>
      </c>
      <c r="E96" s="1" t="n">
        <v>46313</v>
      </c>
      <c r="F96" t="inlineStr">
        <is>
          <t>ÖREBRO LÄN</t>
        </is>
      </c>
      <c r="G96" t="inlineStr">
        <is>
          <t>LJUSNARSBERG</t>
        </is>
      </c>
      <c r="I96" t="n">
        <v>0.7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48534-2025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45934</v>
      </c>
      <c r="E97" s="1" t="n">
        <v>46313</v>
      </c>
      <c r="F97" t="inlineStr">
        <is>
          <t>ÖREBRO LÄN</t>
        </is>
      </c>
      <c r="G97" t="inlineStr">
        <is>
          <t>LJUSNARSBERG</t>
        </is>
      </c>
      <c r="H97" t="inlineStr">
        <is>
          <t>Bergvik skog väst AB</t>
        </is>
      </c>
      <c r="I97" t="n">
        <v>3.4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48540-2025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45934</v>
      </c>
      <c r="E98" s="1" t="n">
        <v>46313</v>
      </c>
      <c r="F98" t="inlineStr">
        <is>
          <t>ÖREBRO LÄN</t>
        </is>
      </c>
      <c r="G98" t="inlineStr">
        <is>
          <t>LJUSNARSBERG</t>
        </is>
      </c>
      <c r="H98" t="inlineStr">
        <is>
          <t>Bergvik skog väst AB</t>
        </is>
      </c>
      <c r="I98" t="n">
        <v>1.5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47017-2025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45929</v>
      </c>
      <c r="E99" s="1" t="n">
        <v>46313</v>
      </c>
      <c r="F99" t="inlineStr">
        <is>
          <t>ÖREBRO LÄN</t>
        </is>
      </c>
      <c r="G99" t="inlineStr">
        <is>
          <t>LJUSNARSBERG</t>
        </is>
      </c>
      <c r="I99" t="n">
        <v>1.5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48564-2025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45934</v>
      </c>
      <c r="E100" s="1" t="n">
        <v>46313</v>
      </c>
      <c r="F100" t="inlineStr">
        <is>
          <t>ÖREBRO LÄN</t>
        </is>
      </c>
      <c r="G100" t="inlineStr">
        <is>
          <t>LJUSNARSBERG</t>
        </is>
      </c>
      <c r="H100" t="inlineStr">
        <is>
          <t>Bergvik skog väst AB</t>
        </is>
      </c>
      <c r="I100" t="n">
        <v>7.2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48542-2025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45934</v>
      </c>
      <c r="E101" s="1" t="n">
        <v>46313</v>
      </c>
      <c r="F101" t="inlineStr">
        <is>
          <t>ÖREBRO LÄN</t>
        </is>
      </c>
      <c r="G101" t="inlineStr">
        <is>
          <t>LJUSNARSBERG</t>
        </is>
      </c>
      <c r="H101" t="inlineStr">
        <is>
          <t>Bergvik skog väst AB</t>
        </is>
      </c>
      <c r="I101" t="n">
        <v>2.1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22366-2026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46154</v>
      </c>
      <c r="E102" s="1" t="n">
        <v>46313</v>
      </c>
      <c r="F102" t="inlineStr">
        <is>
          <t>ÖREBRO LÄN</t>
        </is>
      </c>
      <c r="G102" t="inlineStr">
        <is>
          <t>LJUSNARSBERG</t>
        </is>
      </c>
      <c r="I102" t="n">
        <v>14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50865-2025</t>
        </is>
      </c>
      <c r="B103" t="inlineStr">
        <is>
          <t>avverkningsanmälan</t>
        </is>
      </c>
      <c r="C103" t="inlineStr">
        <is>
          <t>Avverkning för att bevara och utveckla /försöksver</t>
        </is>
      </c>
      <c r="D103" s="1" t="n">
        <v>45946</v>
      </c>
      <c r="E103" s="1" t="n">
        <v>46313</v>
      </c>
      <c r="F103" t="inlineStr">
        <is>
          <t>ÖREBRO LÄN</t>
        </is>
      </c>
      <c r="G103" t="inlineStr">
        <is>
          <t>LJUSNARSBERG</t>
        </is>
      </c>
      <c r="I103" t="n">
        <v>2.1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51693-2025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45951</v>
      </c>
      <c r="E104" s="1" t="n">
        <v>46313</v>
      </c>
      <c r="F104" t="inlineStr">
        <is>
          <t>ÖREBRO LÄN</t>
        </is>
      </c>
      <c r="G104" t="inlineStr">
        <is>
          <t>LJUSNARSBERG</t>
        </is>
      </c>
      <c r="I104" t="n">
        <v>10.8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32880-2025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45839</v>
      </c>
      <c r="E105" s="1" t="n">
        <v>46313</v>
      </c>
      <c r="F105" t="inlineStr">
        <is>
          <t>ÖREBRO LÄN</t>
        </is>
      </c>
      <c r="G105" t="inlineStr">
        <is>
          <t>LJUSNARSBERG</t>
        </is>
      </c>
      <c r="H105" t="inlineStr">
        <is>
          <t>Kommuner</t>
        </is>
      </c>
      <c r="I105" t="n">
        <v>1.6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26617-2022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44739</v>
      </c>
      <c r="E106" s="1" t="n">
        <v>46313</v>
      </c>
      <c r="F106" t="inlineStr">
        <is>
          <t>ÖREBRO LÄN</t>
        </is>
      </c>
      <c r="G106" t="inlineStr">
        <is>
          <t>LJUSNARSBERG</t>
        </is>
      </c>
      <c r="I106" t="n">
        <v>3.1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53595-2024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45614</v>
      </c>
      <c r="E107" s="1" t="n">
        <v>46313</v>
      </c>
      <c r="F107" t="inlineStr">
        <is>
          <t>ÖREBRO LÄN</t>
        </is>
      </c>
      <c r="G107" t="inlineStr">
        <is>
          <t>LJUSNARSBERG</t>
        </is>
      </c>
      <c r="I107" t="n">
        <v>1.3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59495-2024</t>
        </is>
      </c>
      <c r="B108" t="inlineStr">
        <is>
          <t>avverkningsanmälan</t>
        </is>
      </c>
      <c r="C108" t="inlineStr">
        <is>
          <t>Avverkning för annat ändamål</t>
        </is>
      </c>
      <c r="D108" s="1" t="n">
        <v>45638</v>
      </c>
      <c r="E108" s="1" t="n">
        <v>46313</v>
      </c>
      <c r="F108" t="inlineStr">
        <is>
          <t>ÖREBRO LÄN</t>
        </is>
      </c>
      <c r="G108" t="inlineStr">
        <is>
          <t>LJUSNARSBERG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46146-2022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44847</v>
      </c>
      <c r="E109" s="1" t="n">
        <v>46313</v>
      </c>
      <c r="F109" t="inlineStr">
        <is>
          <t>ÖREBRO LÄN</t>
        </is>
      </c>
      <c r="G109" t="inlineStr">
        <is>
          <t>LJUSNARSBERG</t>
        </is>
      </c>
      <c r="H109" t="inlineStr">
        <is>
          <t>Bergvik skog väst AB</t>
        </is>
      </c>
      <c r="I109" t="n">
        <v>5.7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53789-2022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44880</v>
      </c>
      <c r="E110" s="1" t="n">
        <v>46313</v>
      </c>
      <c r="F110" t="inlineStr">
        <is>
          <t>ÖREBRO LÄN</t>
        </is>
      </c>
      <c r="G110" t="inlineStr">
        <is>
          <t>LJUSNARSBERG</t>
        </is>
      </c>
      <c r="I110" t="n">
        <v>2.9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23633-2026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46163</v>
      </c>
      <c r="E111" s="1" t="n">
        <v>46313</v>
      </c>
      <c r="F111" t="inlineStr">
        <is>
          <t>ÖREBRO LÄN</t>
        </is>
      </c>
      <c r="G111" t="inlineStr">
        <is>
          <t>LJUSNARSBERG</t>
        </is>
      </c>
      <c r="I111" t="n">
        <v>3.5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392-2022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44565</v>
      </c>
      <c r="E112" s="1" t="n">
        <v>46313</v>
      </c>
      <c r="F112" t="inlineStr">
        <is>
          <t>ÖREBRO LÄN</t>
        </is>
      </c>
      <c r="G112" t="inlineStr">
        <is>
          <t>LJUSNARSBERG</t>
        </is>
      </c>
      <c r="I112" t="n">
        <v>3.3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57400-2025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45980</v>
      </c>
      <c r="E113" s="1" t="n">
        <v>46313</v>
      </c>
      <c r="F113" t="inlineStr">
        <is>
          <t>ÖREBRO LÄN</t>
        </is>
      </c>
      <c r="G113" t="inlineStr">
        <is>
          <t>LJUSNARSBERG</t>
        </is>
      </c>
      <c r="H113" t="inlineStr">
        <is>
          <t>Bergvik skog väst AB</t>
        </is>
      </c>
      <c r="I113" t="n">
        <v>8.5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24363-2026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46167</v>
      </c>
      <c r="E114" s="1" t="n">
        <v>46313</v>
      </c>
      <c r="F114" t="inlineStr">
        <is>
          <t>ÖREBRO LÄN</t>
        </is>
      </c>
      <c r="G114" t="inlineStr">
        <is>
          <t>LJUSNARSBERG</t>
        </is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57392-2025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45980</v>
      </c>
      <c r="E115" s="1" t="n">
        <v>46313</v>
      </c>
      <c r="F115" t="inlineStr">
        <is>
          <t>ÖREBRO LÄN</t>
        </is>
      </c>
      <c r="G115" t="inlineStr">
        <is>
          <t>LJUSNARSBERG</t>
        </is>
      </c>
      <c r="H115" t="inlineStr">
        <is>
          <t>Bergvik skog väst AB</t>
        </is>
      </c>
      <c r="I115" t="n">
        <v>5.5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24343-2026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46167</v>
      </c>
      <c r="E116" s="1" t="n">
        <v>46313</v>
      </c>
      <c r="F116" t="inlineStr">
        <is>
          <t>ÖREBRO LÄN</t>
        </is>
      </c>
      <c r="G116" t="inlineStr">
        <is>
          <t>LJUSNARSBERG</t>
        </is>
      </c>
      <c r="H116" t="inlineStr">
        <is>
          <t>Bergvik skog väst AB</t>
        </is>
      </c>
      <c r="I116" t="n">
        <v>0.8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29436-2023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45106</v>
      </c>
      <c r="E117" s="1" t="n">
        <v>46313</v>
      </c>
      <c r="F117" t="inlineStr">
        <is>
          <t>ÖREBRO LÄN</t>
        </is>
      </c>
      <c r="G117" t="inlineStr">
        <is>
          <t>LJUSNARSBERG</t>
        </is>
      </c>
      <c r="I117" t="n">
        <v>4.9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24350-2026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46167</v>
      </c>
      <c r="E118" s="1" t="n">
        <v>46313</v>
      </c>
      <c r="F118" t="inlineStr">
        <is>
          <t>ÖREBRO LÄN</t>
        </is>
      </c>
      <c r="G118" t="inlineStr">
        <is>
          <t>LJUSNARSBERG</t>
        </is>
      </c>
      <c r="I118" t="n">
        <v>1.2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46082-2024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45581</v>
      </c>
      <c r="E119" s="1" t="n">
        <v>46313</v>
      </c>
      <c r="F119" t="inlineStr">
        <is>
          <t>ÖREBRO LÄN</t>
        </is>
      </c>
      <c r="G119" t="inlineStr">
        <is>
          <t>LJUSNARSBERG</t>
        </is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289-2022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44564</v>
      </c>
      <c r="E120" s="1" t="n">
        <v>46313</v>
      </c>
      <c r="F120" t="inlineStr">
        <is>
          <t>ÖREBRO LÄN</t>
        </is>
      </c>
      <c r="G120" t="inlineStr">
        <is>
          <t>LJUSNARSBERG</t>
        </is>
      </c>
      <c r="H120" t="inlineStr">
        <is>
          <t>Bergvik skog väst AB</t>
        </is>
      </c>
      <c r="I120" t="n">
        <v>6.8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33861-2022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44790</v>
      </c>
      <c r="E121" s="1" t="n">
        <v>46313</v>
      </c>
      <c r="F121" t="inlineStr">
        <is>
          <t>ÖREBRO LÄN</t>
        </is>
      </c>
      <c r="G121" t="inlineStr">
        <is>
          <t>LJUSNARSBERG</t>
        </is>
      </c>
      <c r="I121" t="n">
        <v>1.1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61579-2025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46002</v>
      </c>
      <c r="E122" s="1" t="n">
        <v>46313</v>
      </c>
      <c r="F122" t="inlineStr">
        <is>
          <t>ÖREBRO LÄN</t>
        </is>
      </c>
      <c r="G122" t="inlineStr">
        <is>
          <t>LJUSNARSBERG</t>
        </is>
      </c>
      <c r="H122" t="inlineStr">
        <is>
          <t>Bergvik skog väst AB</t>
        </is>
      </c>
      <c r="I122" t="n">
        <v>1.4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50524-2023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45217</v>
      </c>
      <c r="E123" s="1" t="n">
        <v>46313</v>
      </c>
      <c r="F123" t="inlineStr">
        <is>
          <t>ÖREBRO LÄN</t>
        </is>
      </c>
      <c r="G123" t="inlineStr">
        <is>
          <t>LJUSNARSBERG</t>
        </is>
      </c>
      <c r="I123" t="n">
        <v>0.9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63411-2025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46013</v>
      </c>
      <c r="E124" s="1" t="n">
        <v>46313</v>
      </c>
      <c r="F124" t="inlineStr">
        <is>
          <t>ÖREBRO LÄN</t>
        </is>
      </c>
      <c r="G124" t="inlineStr">
        <is>
          <t>LJUSNARSBERG</t>
        </is>
      </c>
      <c r="H124" t="inlineStr">
        <is>
          <t>Bergvik skog väst AB</t>
        </is>
      </c>
      <c r="I124" t="n">
        <v>4.7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44760-2024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45574</v>
      </c>
      <c r="E125" s="1" t="n">
        <v>46313</v>
      </c>
      <c r="F125" t="inlineStr">
        <is>
          <t>ÖREBRO LÄN</t>
        </is>
      </c>
      <c r="G125" t="inlineStr">
        <is>
          <t>LJUSNARSBERG</t>
        </is>
      </c>
      <c r="H125" t="inlineStr">
        <is>
          <t>Bergvik skog väst AB</t>
        </is>
      </c>
      <c r="I125" t="n">
        <v>11.4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2667-2026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46037</v>
      </c>
      <c r="E126" s="1" t="n">
        <v>46313</v>
      </c>
      <c r="F126" t="inlineStr">
        <is>
          <t>ÖREBRO LÄN</t>
        </is>
      </c>
      <c r="G126" t="inlineStr">
        <is>
          <t>LJUSNARSBERG</t>
        </is>
      </c>
      <c r="I126" t="n">
        <v>1.3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62667-2022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44917</v>
      </c>
      <c r="E127" s="1" t="n">
        <v>46313</v>
      </c>
      <c r="F127" t="inlineStr">
        <is>
          <t>ÖREBRO LÄN</t>
        </is>
      </c>
      <c r="G127" t="inlineStr">
        <is>
          <t>LJUSNARSBERG</t>
        </is>
      </c>
      <c r="H127" t="inlineStr">
        <is>
          <t>Bergvik skog väst AB</t>
        </is>
      </c>
      <c r="I127" t="n">
        <v>7.1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12482-2023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44999</v>
      </c>
      <c r="E128" s="1" t="n">
        <v>46313</v>
      </c>
      <c r="F128" t="inlineStr">
        <is>
          <t>ÖREBRO LÄN</t>
        </is>
      </c>
      <c r="G128" t="inlineStr">
        <is>
          <t>LJUSNARSBERG</t>
        </is>
      </c>
      <c r="I128" t="n">
        <v>6.1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26379-2026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46183</v>
      </c>
      <c r="E129" s="1" t="n">
        <v>46313</v>
      </c>
      <c r="F129" t="inlineStr">
        <is>
          <t>ÖREBRO LÄN</t>
        </is>
      </c>
      <c r="G129" t="inlineStr">
        <is>
          <t>LJUSNARSBERG</t>
        </is>
      </c>
      <c r="H129" t="inlineStr">
        <is>
          <t>Bergvik skog väst AB</t>
        </is>
      </c>
      <c r="I129" t="n">
        <v>1.6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13803-2024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45390</v>
      </c>
      <c r="E130" s="1" t="n">
        <v>46313</v>
      </c>
      <c r="F130" t="inlineStr">
        <is>
          <t>ÖREBRO LÄN</t>
        </is>
      </c>
      <c r="G130" t="inlineStr">
        <is>
          <t>LJUSNARSBERG</t>
        </is>
      </c>
      <c r="H130" t="inlineStr">
        <is>
          <t>Bergvik skog väst AB</t>
        </is>
      </c>
      <c r="I130" t="n">
        <v>17.8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14500-2024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45394</v>
      </c>
      <c r="E131" s="1" t="n">
        <v>46313</v>
      </c>
      <c r="F131" t="inlineStr">
        <is>
          <t>ÖREBRO LÄN</t>
        </is>
      </c>
      <c r="G131" t="inlineStr">
        <is>
          <t>LJUSNARSBERG</t>
        </is>
      </c>
      <c r="I131" t="n">
        <v>5.4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26847-2026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46185</v>
      </c>
      <c r="E132" s="1" t="n">
        <v>46313</v>
      </c>
      <c r="F132" t="inlineStr">
        <is>
          <t>ÖREBRO LÄN</t>
        </is>
      </c>
      <c r="G132" t="inlineStr">
        <is>
          <t>LJUSNARSBERG</t>
        </is>
      </c>
      <c r="H132" t="inlineStr">
        <is>
          <t>Bergvik skog väst AB</t>
        </is>
      </c>
      <c r="I132" t="n">
        <v>14.5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55787-2023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45239</v>
      </c>
      <c r="E133" s="1" t="n">
        <v>46313</v>
      </c>
      <c r="F133" t="inlineStr">
        <is>
          <t>ÖREBRO LÄN</t>
        </is>
      </c>
      <c r="G133" t="inlineStr">
        <is>
          <t>LJUSNARSBERG</t>
        </is>
      </c>
      <c r="I133" t="n">
        <v>4.6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18938-2022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44690</v>
      </c>
      <c r="E134" s="1" t="n">
        <v>46313</v>
      </c>
      <c r="F134" t="inlineStr">
        <is>
          <t>ÖREBRO LÄN</t>
        </is>
      </c>
      <c r="G134" t="inlineStr">
        <is>
          <t>LJUSNARSBERG</t>
        </is>
      </c>
      <c r="H134" t="inlineStr">
        <is>
          <t>Bergvik skog väst AB</t>
        </is>
      </c>
      <c r="I134" t="n">
        <v>1.4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58823-2022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44903</v>
      </c>
      <c r="E135" s="1" t="n">
        <v>46313</v>
      </c>
      <c r="F135" t="inlineStr">
        <is>
          <t>ÖREBRO LÄN</t>
        </is>
      </c>
      <c r="G135" t="inlineStr">
        <is>
          <t>LJUSNARSBERG</t>
        </is>
      </c>
      <c r="I135" t="n">
        <v>1.2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45538-2024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45578</v>
      </c>
      <c r="E136" s="1" t="n">
        <v>46313</v>
      </c>
      <c r="F136" t="inlineStr">
        <is>
          <t>ÖREBRO LÄN</t>
        </is>
      </c>
      <c r="G136" t="inlineStr">
        <is>
          <t>LJUSNARSBERG</t>
        </is>
      </c>
      <c r="H136" t="inlineStr">
        <is>
          <t>Bergvik skog väst AB</t>
        </is>
      </c>
      <c r="I136" t="n">
        <v>2.3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45539-2024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45578</v>
      </c>
      <c r="E137" s="1" t="n">
        <v>46313</v>
      </c>
      <c r="F137" t="inlineStr">
        <is>
          <t>ÖREBRO LÄN</t>
        </is>
      </c>
      <c r="G137" t="inlineStr">
        <is>
          <t>LJUSNARSBERG</t>
        </is>
      </c>
      <c r="H137" t="inlineStr">
        <is>
          <t>Bergvik skog väst AB</t>
        </is>
      </c>
      <c r="I137" t="n">
        <v>4.7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52489-2022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44874</v>
      </c>
      <c r="E138" s="1" t="n">
        <v>46313</v>
      </c>
      <c r="F138" t="inlineStr">
        <is>
          <t>ÖREBRO LÄN</t>
        </is>
      </c>
      <c r="G138" t="inlineStr">
        <is>
          <t>LJUSNARSBERG</t>
        </is>
      </c>
      <c r="H138" t="inlineStr">
        <is>
          <t>Bergvik skog väst AB</t>
        </is>
      </c>
      <c r="I138" t="n">
        <v>3.2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33976-2023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45124</v>
      </c>
      <c r="E139" s="1" t="n">
        <v>46313</v>
      </c>
      <c r="F139" t="inlineStr">
        <is>
          <t>ÖREBRO LÄN</t>
        </is>
      </c>
      <c r="G139" t="inlineStr">
        <is>
          <t>LJUSNARSBERG</t>
        </is>
      </c>
      <c r="H139" t="inlineStr">
        <is>
          <t>Bergvik skog väst AB</t>
        </is>
      </c>
      <c r="I139" t="n">
        <v>6.7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19738-2026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46133</v>
      </c>
      <c r="E140" s="1" t="n">
        <v>46313</v>
      </c>
      <c r="F140" t="inlineStr">
        <is>
          <t>ÖREBRO LÄN</t>
        </is>
      </c>
      <c r="G140" t="inlineStr">
        <is>
          <t>LJUSNARSBERG</t>
        </is>
      </c>
      <c r="H140" t="inlineStr">
        <is>
          <t>Bergvik skog väst AB</t>
        </is>
      </c>
      <c r="I140" t="n">
        <v>14.5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43638-2025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45911</v>
      </c>
      <c r="E141" s="1" t="n">
        <v>46313</v>
      </c>
      <c r="F141" t="inlineStr">
        <is>
          <t>ÖREBRO LÄN</t>
        </is>
      </c>
      <c r="G141" t="inlineStr">
        <is>
          <t>LJUSNARSBERG</t>
        </is>
      </c>
      <c r="I141" t="n">
        <v>1.9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48582-2025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45936</v>
      </c>
      <c r="E142" s="1" t="n">
        <v>46313</v>
      </c>
      <c r="F142" t="inlineStr">
        <is>
          <t>ÖREBRO LÄN</t>
        </is>
      </c>
      <c r="G142" t="inlineStr">
        <is>
          <t>LJUSNARSBERG</t>
        </is>
      </c>
      <c r="H142" t="inlineStr">
        <is>
          <t>Sveaskog</t>
        </is>
      </c>
      <c r="I142" t="n">
        <v>1.6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18932-2022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44690</v>
      </c>
      <c r="E143" s="1" t="n">
        <v>46313</v>
      </c>
      <c r="F143" t="inlineStr">
        <is>
          <t>ÖREBRO LÄN</t>
        </is>
      </c>
      <c r="G143" t="inlineStr">
        <is>
          <t>LJUSNARSBERG</t>
        </is>
      </c>
      <c r="H143" t="inlineStr">
        <is>
          <t>Bergvik skog väst AB</t>
        </is>
      </c>
      <c r="I143" t="n">
        <v>4.2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24319-2026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46167</v>
      </c>
      <c r="E144" s="1" t="n">
        <v>46313</v>
      </c>
      <c r="F144" t="inlineStr">
        <is>
          <t>ÖREBRO LÄN</t>
        </is>
      </c>
      <c r="G144" t="inlineStr">
        <is>
          <t>LJUSNARSBERG</t>
        </is>
      </c>
      <c r="I144" t="n">
        <v>4.2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36771-2026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46272</v>
      </c>
      <c r="E145" s="1" t="n">
        <v>46313</v>
      </c>
      <c r="F145" t="inlineStr">
        <is>
          <t>ÖREBRO LÄN</t>
        </is>
      </c>
      <c r="G145" t="inlineStr">
        <is>
          <t>LJUSNARSBERG</t>
        </is>
      </c>
      <c r="I145" t="n">
        <v>0.8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30414-2023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45111</v>
      </c>
      <c r="E146" s="1" t="n">
        <v>46313</v>
      </c>
      <c r="F146" t="inlineStr">
        <is>
          <t>ÖREBRO LÄN</t>
        </is>
      </c>
      <c r="G146" t="inlineStr">
        <is>
          <t>LJUSNARSBERG</t>
        </is>
      </c>
      <c r="H146" t="inlineStr">
        <is>
          <t>Bergvik skog väst AB</t>
        </is>
      </c>
      <c r="I146" t="n">
        <v>12.8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36780-2026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46272</v>
      </c>
      <c r="E147" s="1" t="n">
        <v>46313</v>
      </c>
      <c r="F147" t="inlineStr">
        <is>
          <t>ÖREBRO LÄN</t>
        </is>
      </c>
      <c r="G147" t="inlineStr">
        <is>
          <t>LJUSNARSBERG</t>
        </is>
      </c>
      <c r="I147" t="n">
        <v>1.9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37438-2026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46275</v>
      </c>
      <c r="E148" s="1" t="n">
        <v>46313</v>
      </c>
      <c r="F148" t="inlineStr">
        <is>
          <t>ÖREBRO LÄN</t>
        </is>
      </c>
      <c r="G148" t="inlineStr">
        <is>
          <t>LJUSNARSBERG</t>
        </is>
      </c>
      <c r="I148" t="n">
        <v>2.5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62421-2022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44916</v>
      </c>
      <c r="E149" s="1" t="n">
        <v>46313</v>
      </c>
      <c r="F149" t="inlineStr">
        <is>
          <t>ÖREBRO LÄN</t>
        </is>
      </c>
      <c r="G149" t="inlineStr">
        <is>
          <t>LJUSNARSBERG</t>
        </is>
      </c>
      <c r="H149" t="inlineStr">
        <is>
          <t>Bergvik skog väst AB</t>
        </is>
      </c>
      <c r="I149" t="n">
        <v>1.3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7499-2024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45347</v>
      </c>
      <c r="E150" s="1" t="n">
        <v>46313</v>
      </c>
      <c r="F150" t="inlineStr">
        <is>
          <t>ÖREBRO LÄN</t>
        </is>
      </c>
      <c r="G150" t="inlineStr">
        <is>
          <t>LJUSNARSBERG</t>
        </is>
      </c>
      <c r="I150" t="n">
        <v>3.4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37866-2026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46279</v>
      </c>
      <c r="E151" s="1" t="n">
        <v>46313</v>
      </c>
      <c r="F151" t="inlineStr">
        <is>
          <t>ÖREBRO LÄN</t>
        </is>
      </c>
      <c r="G151" t="inlineStr">
        <is>
          <t>LJUSNARSBERG</t>
        </is>
      </c>
      <c r="I151" t="n">
        <v>3.2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16613-2023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45030</v>
      </c>
      <c r="E152" s="1" t="n">
        <v>46313</v>
      </c>
      <c r="F152" t="inlineStr">
        <is>
          <t>ÖREBRO LÄN</t>
        </is>
      </c>
      <c r="G152" t="inlineStr">
        <is>
          <t>LJUSNARSBERG</t>
        </is>
      </c>
      <c r="H152" t="inlineStr">
        <is>
          <t>Sveaskog</t>
        </is>
      </c>
      <c r="I152" t="n">
        <v>0.6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38269-2026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46281</v>
      </c>
      <c r="E153" s="1" t="n">
        <v>46313</v>
      </c>
      <c r="F153" t="inlineStr">
        <is>
          <t>ÖREBRO LÄN</t>
        </is>
      </c>
      <c r="G153" t="inlineStr">
        <is>
          <t>LJUSNARSBERG</t>
        </is>
      </c>
      <c r="H153" t="inlineStr">
        <is>
          <t>Kyrkan</t>
        </is>
      </c>
      <c r="I153" t="n">
        <v>4.6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38378-2026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46282</v>
      </c>
      <c r="E154" s="1" t="n">
        <v>46313</v>
      </c>
      <c r="F154" t="inlineStr">
        <is>
          <t>ÖREBRO LÄN</t>
        </is>
      </c>
      <c r="G154" t="inlineStr">
        <is>
          <t>LJUSNARSBERG</t>
        </is>
      </c>
      <c r="H154" t="inlineStr">
        <is>
          <t>Bergvik skog väst AB</t>
        </is>
      </c>
      <c r="I154" t="n">
        <v>2.2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57090-2022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44895</v>
      </c>
      <c r="E155" s="1" t="n">
        <v>46313</v>
      </c>
      <c r="F155" t="inlineStr">
        <is>
          <t>ÖREBRO LÄN</t>
        </is>
      </c>
      <c r="G155" t="inlineStr">
        <is>
          <t>LJUSNARSBERG</t>
        </is>
      </c>
      <c r="I155" t="n">
        <v>1.8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23372-2022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44720</v>
      </c>
      <c r="E156" s="1" t="n">
        <v>46313</v>
      </c>
      <c r="F156" t="inlineStr">
        <is>
          <t>ÖREBRO LÄN</t>
        </is>
      </c>
      <c r="G156" t="inlineStr">
        <is>
          <t>LJUSNARSBERG</t>
        </is>
      </c>
      <c r="H156" t="inlineStr">
        <is>
          <t>Bergvik skog väst AB</t>
        </is>
      </c>
      <c r="I156" t="n">
        <v>11.2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2607-2023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44939</v>
      </c>
      <c r="E157" s="1" t="n">
        <v>46313</v>
      </c>
      <c r="F157" t="inlineStr">
        <is>
          <t>ÖREBRO LÄN</t>
        </is>
      </c>
      <c r="G157" t="inlineStr">
        <is>
          <t>LJUSNARSBERG</t>
        </is>
      </c>
      <c r="I157" t="n">
        <v>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7903-2022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44607</v>
      </c>
      <c r="E158" s="1" t="n">
        <v>46313</v>
      </c>
      <c r="F158" t="inlineStr">
        <is>
          <t>ÖREBRO LÄN</t>
        </is>
      </c>
      <c r="G158" t="inlineStr">
        <is>
          <t>LJUSNARSBERG</t>
        </is>
      </c>
      <c r="H158" t="inlineStr">
        <is>
          <t>Kyrkan</t>
        </is>
      </c>
      <c r="I158" t="n">
        <v>2.3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42761-2023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45177</v>
      </c>
      <c r="E159" s="1" t="n">
        <v>46313</v>
      </c>
      <c r="F159" t="inlineStr">
        <is>
          <t>ÖREBRO LÄN</t>
        </is>
      </c>
      <c r="G159" t="inlineStr">
        <is>
          <t>LJUSNARSBERG</t>
        </is>
      </c>
      <c r="I159" t="n">
        <v>4.4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33245-2026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46246</v>
      </c>
      <c r="E160" s="1" t="n">
        <v>46313</v>
      </c>
      <c r="F160" t="inlineStr">
        <is>
          <t>ÖREBRO LÄN</t>
        </is>
      </c>
      <c r="G160" t="inlineStr">
        <is>
          <t>LJUSNARSBERG</t>
        </is>
      </c>
      <c r="I160" t="n">
        <v>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31167-2023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45103</v>
      </c>
      <c r="E161" s="1" t="n">
        <v>46313</v>
      </c>
      <c r="F161" t="inlineStr">
        <is>
          <t>ÖREBRO LÄN</t>
        </is>
      </c>
      <c r="G161" t="inlineStr">
        <is>
          <t>LJUSNARSBERG</t>
        </is>
      </c>
      <c r="H161" t="inlineStr">
        <is>
          <t>Bergvik skog väst AB</t>
        </is>
      </c>
      <c r="I161" t="n">
        <v>1.7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31295-2023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45103</v>
      </c>
      <c r="E162" s="1" t="n">
        <v>46313</v>
      </c>
      <c r="F162" t="inlineStr">
        <is>
          <t>ÖREBRO LÄN</t>
        </is>
      </c>
      <c r="G162" t="inlineStr">
        <is>
          <t>LJUSNARSBERG</t>
        </is>
      </c>
      <c r="H162" t="inlineStr">
        <is>
          <t>Bergvik skog väst AB</t>
        </is>
      </c>
      <c r="I162" t="n">
        <v>3.2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33488-2026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46247</v>
      </c>
      <c r="E163" s="1" t="n">
        <v>46313</v>
      </c>
      <c r="F163" t="inlineStr">
        <is>
          <t>ÖREBRO LÄN</t>
        </is>
      </c>
      <c r="G163" t="inlineStr">
        <is>
          <t>LJUSNARSBERG</t>
        </is>
      </c>
      <c r="H163" t="inlineStr">
        <is>
          <t>Kyrkan</t>
        </is>
      </c>
      <c r="I163" t="n">
        <v>5.3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39834-2026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46290</v>
      </c>
      <c r="E164" s="1" t="n">
        <v>46313</v>
      </c>
      <c r="F164" t="inlineStr">
        <is>
          <t>ÖREBRO LÄN</t>
        </is>
      </c>
      <c r="G164" t="inlineStr">
        <is>
          <t>LJUSNARSBERG</t>
        </is>
      </c>
      <c r="H164" t="inlineStr">
        <is>
          <t>Bergvik skog väst AB</t>
        </is>
      </c>
      <c r="I164" t="n">
        <v>2.3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18975-2025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45764</v>
      </c>
      <c r="E165" s="1" t="n">
        <v>46313</v>
      </c>
      <c r="F165" t="inlineStr">
        <is>
          <t>ÖREBRO LÄN</t>
        </is>
      </c>
      <c r="G165" t="inlineStr">
        <is>
          <t>LJUSNARSBERG</t>
        </is>
      </c>
      <c r="H165" t="inlineStr">
        <is>
          <t>Bergvik skog väst AB</t>
        </is>
      </c>
      <c r="I165" t="n">
        <v>2.7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40443-2026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46294</v>
      </c>
      <c r="E166" s="1" t="n">
        <v>46313</v>
      </c>
      <c r="F166" t="inlineStr">
        <is>
          <t>ÖREBRO LÄN</t>
        </is>
      </c>
      <c r="G166" t="inlineStr">
        <is>
          <t>LJUSNARSBERG</t>
        </is>
      </c>
      <c r="I166" t="n">
        <v>4.4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33753-2026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46251</v>
      </c>
      <c r="E167" s="1" t="n">
        <v>46313</v>
      </c>
      <c r="F167" t="inlineStr">
        <is>
          <t>ÖREBRO LÄN</t>
        </is>
      </c>
      <c r="G167" t="inlineStr">
        <is>
          <t>LJUSNARSBERG</t>
        </is>
      </c>
      <c r="H167" t="inlineStr">
        <is>
          <t>Bergvik skog väst AB</t>
        </is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19857-2022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44694</v>
      </c>
      <c r="E168" s="1" t="n">
        <v>46313</v>
      </c>
      <c r="F168" t="inlineStr">
        <is>
          <t>ÖREBRO LÄN</t>
        </is>
      </c>
      <c r="G168" t="inlineStr">
        <is>
          <t>LJUSNARSBERG</t>
        </is>
      </c>
      <c r="H168" t="inlineStr">
        <is>
          <t>Bergvik skog väst AB</t>
        </is>
      </c>
      <c r="I168" t="n">
        <v>2.1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46801-2024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45583</v>
      </c>
      <c r="E169" s="1" t="n">
        <v>46313</v>
      </c>
      <c r="F169" t="inlineStr">
        <is>
          <t>ÖREBRO LÄN</t>
        </is>
      </c>
      <c r="G169" t="inlineStr">
        <is>
          <t>LJUSNARSBERG</t>
        </is>
      </c>
      <c r="H169" t="inlineStr">
        <is>
          <t>Bergvik skog väst AB</t>
        </is>
      </c>
      <c r="I169" t="n">
        <v>16.8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41478-2026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46300</v>
      </c>
      <c r="E170" s="1" t="n">
        <v>46313</v>
      </c>
      <c r="F170" t="inlineStr">
        <is>
          <t>ÖREBRO LÄN</t>
        </is>
      </c>
      <c r="G170" t="inlineStr">
        <is>
          <t>LJUSNARSBERG</t>
        </is>
      </c>
      <c r="H170" t="inlineStr">
        <is>
          <t>Bergvik skog väst AB</t>
        </is>
      </c>
      <c r="I170" t="n">
        <v>4.7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41489-2026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46300</v>
      </c>
      <c r="E171" s="1" t="n">
        <v>46313</v>
      </c>
      <c r="F171" t="inlineStr">
        <is>
          <t>ÖREBRO LÄN</t>
        </is>
      </c>
      <c r="G171" t="inlineStr">
        <is>
          <t>LJUSNARSBERG</t>
        </is>
      </c>
      <c r="H171" t="inlineStr">
        <is>
          <t>Bergvik skog väst AB</t>
        </is>
      </c>
      <c r="I171" t="n">
        <v>2.1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41490-2026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46300</v>
      </c>
      <c r="E172" s="1" t="n">
        <v>46313</v>
      </c>
      <c r="F172" t="inlineStr">
        <is>
          <t>ÖREBRO LÄN</t>
        </is>
      </c>
      <c r="G172" t="inlineStr">
        <is>
          <t>LJUSNARSBERG</t>
        </is>
      </c>
      <c r="H172" t="inlineStr">
        <is>
          <t>Bergvik skog väst AB</t>
        </is>
      </c>
      <c r="I172" t="n">
        <v>3.2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31162-2023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45103</v>
      </c>
      <c r="E173" s="1" t="n">
        <v>46313</v>
      </c>
      <c r="F173" t="inlineStr">
        <is>
          <t>ÖREBRO LÄN</t>
        </is>
      </c>
      <c r="G173" t="inlineStr">
        <is>
          <t>LJUSNARSBERG</t>
        </is>
      </c>
      <c r="H173" t="inlineStr">
        <is>
          <t>Bergvik skog väst AB</t>
        </is>
      </c>
      <c r="I173" t="n">
        <v>10.4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41550-2026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46301</v>
      </c>
      <c r="E174" s="1" t="n">
        <v>46313</v>
      </c>
      <c r="F174" t="inlineStr">
        <is>
          <t>ÖREBRO LÄN</t>
        </is>
      </c>
      <c r="G174" t="inlineStr">
        <is>
          <t>LJUSNARSBERG</t>
        </is>
      </c>
      <c r="I174" t="n">
        <v>2.4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28778-2024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45478</v>
      </c>
      <c r="E175" s="1" t="n">
        <v>46313</v>
      </c>
      <c r="F175" t="inlineStr">
        <is>
          <t>ÖREBRO LÄN</t>
        </is>
      </c>
      <c r="G175" t="inlineStr">
        <is>
          <t>LJUSNARSBERG</t>
        </is>
      </c>
      <c r="H175" t="inlineStr">
        <is>
          <t>Bergvik skog väst AB</t>
        </is>
      </c>
      <c r="I175" t="n">
        <v>5.6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41458-2026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46300</v>
      </c>
      <c r="E176" s="1" t="n">
        <v>46313</v>
      </c>
      <c r="F176" t="inlineStr">
        <is>
          <t>ÖREBRO LÄN</t>
        </is>
      </c>
      <c r="G176" t="inlineStr">
        <is>
          <t>LJUSNARSBERG</t>
        </is>
      </c>
      <c r="H176" t="inlineStr">
        <is>
          <t>Bergvik skog väst AB</t>
        </is>
      </c>
      <c r="I176" t="n">
        <v>4.3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41471-2026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46300</v>
      </c>
      <c r="E177" s="1" t="n">
        <v>46313</v>
      </c>
      <c r="F177" t="inlineStr">
        <is>
          <t>ÖREBRO LÄN</t>
        </is>
      </c>
      <c r="G177" t="inlineStr">
        <is>
          <t>LJUSNARSBERG</t>
        </is>
      </c>
      <c r="H177" t="inlineStr">
        <is>
          <t>Bergvik skog väst AB</t>
        </is>
      </c>
      <c r="I177" t="n">
        <v>0.7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41484-2026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46301</v>
      </c>
      <c r="E178" s="1" t="n">
        <v>46313</v>
      </c>
      <c r="F178" t="inlineStr">
        <is>
          <t>ÖREBRO LÄN</t>
        </is>
      </c>
      <c r="G178" t="inlineStr">
        <is>
          <t>LJUSNARSBERG</t>
        </is>
      </c>
      <c r="H178" t="inlineStr">
        <is>
          <t>Bergvik skog väst AB</t>
        </is>
      </c>
      <c r="I178" t="n">
        <v>0.6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41491-2026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46300</v>
      </c>
      <c r="E179" s="1" t="n">
        <v>46313</v>
      </c>
      <c r="F179" t="inlineStr">
        <is>
          <t>ÖREBRO LÄN</t>
        </is>
      </c>
      <c r="G179" t="inlineStr">
        <is>
          <t>LJUSNARSBERG</t>
        </is>
      </c>
      <c r="H179" t="inlineStr">
        <is>
          <t>Bergvik skog väst AB</t>
        </is>
      </c>
      <c r="I179" t="n">
        <v>0.9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48780-2024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45593</v>
      </c>
      <c r="E180" s="1" t="n">
        <v>46313</v>
      </c>
      <c r="F180" t="inlineStr">
        <is>
          <t>ÖREBRO LÄN</t>
        </is>
      </c>
      <c r="G180" t="inlineStr">
        <is>
          <t>LJUSNARSBERG</t>
        </is>
      </c>
      <c r="I180" t="n">
        <v>1.7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6313-2025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45698</v>
      </c>
      <c r="E181" s="1" t="n">
        <v>46313</v>
      </c>
      <c r="F181" t="inlineStr">
        <is>
          <t>ÖREBRO LÄN</t>
        </is>
      </c>
      <c r="G181" t="inlineStr">
        <is>
          <t>LJUSNARSBERG</t>
        </is>
      </c>
      <c r="I181" t="n">
        <v>2.5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13389-2024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45387</v>
      </c>
      <c r="E182" s="1" t="n">
        <v>46313</v>
      </c>
      <c r="F182" t="inlineStr">
        <is>
          <t>ÖREBRO LÄN</t>
        </is>
      </c>
      <c r="G182" t="inlineStr">
        <is>
          <t>LJUSNARSBERG</t>
        </is>
      </c>
      <c r="I182" t="n">
        <v>1.1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30172-2023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45110</v>
      </c>
      <c r="E183" s="1" t="n">
        <v>46313</v>
      </c>
      <c r="F183" t="inlineStr">
        <is>
          <t>ÖREBRO LÄN</t>
        </is>
      </c>
      <c r="G183" t="inlineStr">
        <is>
          <t>LJUSNARSBERG</t>
        </is>
      </c>
      <c r="H183" t="inlineStr">
        <is>
          <t>Bergvik skog väst AB</t>
        </is>
      </c>
      <c r="I183" t="n">
        <v>10.8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34926-2023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45142</v>
      </c>
      <c r="E184" s="1" t="n">
        <v>46313</v>
      </c>
      <c r="F184" t="inlineStr">
        <is>
          <t>ÖREBRO LÄN</t>
        </is>
      </c>
      <c r="G184" t="inlineStr">
        <is>
          <t>LJUSNARSBERG</t>
        </is>
      </c>
      <c r="H184" t="inlineStr">
        <is>
          <t>Bergvik skog väst AB</t>
        </is>
      </c>
      <c r="I184" t="n">
        <v>4.4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4989-2023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44956</v>
      </c>
      <c r="E185" s="1" t="n">
        <v>46313</v>
      </c>
      <c r="F185" t="inlineStr">
        <is>
          <t>ÖREBRO LÄN</t>
        </is>
      </c>
      <c r="G185" t="inlineStr">
        <is>
          <t>LJUSNARSBERG</t>
        </is>
      </c>
      <c r="H185" t="inlineStr">
        <is>
          <t>Bergvik skog väst AB</t>
        </is>
      </c>
      <c r="I185" t="n">
        <v>5.4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31763-2023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45106</v>
      </c>
      <c r="E186" s="1" t="n">
        <v>46313</v>
      </c>
      <c r="F186" t="inlineStr">
        <is>
          <t>ÖREBRO LÄN</t>
        </is>
      </c>
      <c r="G186" t="inlineStr">
        <is>
          <t>LJUSNARSBERG</t>
        </is>
      </c>
      <c r="H186" t="inlineStr">
        <is>
          <t>Bergvik skog väst AB</t>
        </is>
      </c>
      <c r="I186" t="n">
        <v>11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42248-2026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46307</v>
      </c>
      <c r="E187" s="1" t="n">
        <v>46313</v>
      </c>
      <c r="F187" t="inlineStr">
        <is>
          <t>ÖREBRO LÄN</t>
        </is>
      </c>
      <c r="G187" t="inlineStr">
        <is>
          <t>LJUSNARSBERG</t>
        </is>
      </c>
      <c r="H187" t="inlineStr">
        <is>
          <t>Bergvik skog väst AB</t>
        </is>
      </c>
      <c r="I187" t="n">
        <v>2.1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26469-2025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45807</v>
      </c>
      <c r="E188" s="1" t="n">
        <v>46313</v>
      </c>
      <c r="F188" t="inlineStr">
        <is>
          <t>ÖREBRO LÄN</t>
        </is>
      </c>
      <c r="G188" t="inlineStr">
        <is>
          <t>LJUSNARSBERG</t>
        </is>
      </c>
      <c r="H188" t="inlineStr">
        <is>
          <t>Bergvik skog väst AB</t>
        </is>
      </c>
      <c r="I188" t="n">
        <v>3.4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20673-2025</t>
        </is>
      </c>
      <c r="B189" t="inlineStr">
        <is>
          <t>avverkningsanmälan</t>
        </is>
      </c>
      <c r="C189" t="inlineStr">
        <is>
          <t>Avverkning för annat ändamål</t>
        </is>
      </c>
      <c r="D189" s="1" t="n">
        <v>45776</v>
      </c>
      <c r="E189" s="1" t="n">
        <v>46313</v>
      </c>
      <c r="F189" t="inlineStr">
        <is>
          <t>ÖREBRO LÄN</t>
        </is>
      </c>
      <c r="G189" t="inlineStr">
        <is>
          <t>LJUSNARSBERG</t>
        </is>
      </c>
      <c r="I189" t="n">
        <v>0.6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29572-2025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45825</v>
      </c>
      <c r="E190" s="1" t="n">
        <v>46313</v>
      </c>
      <c r="F190" t="inlineStr">
        <is>
          <t>ÖREBRO LÄN</t>
        </is>
      </c>
      <c r="G190" t="inlineStr">
        <is>
          <t>LJUSNARSBERG</t>
        </is>
      </c>
      <c r="H190" t="inlineStr">
        <is>
          <t>Bergvik skog väst AB</t>
        </is>
      </c>
      <c r="I190" t="n">
        <v>2.4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30428-2025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45827</v>
      </c>
      <c r="E191" s="1" t="n">
        <v>46313</v>
      </c>
      <c r="F191" t="inlineStr">
        <is>
          <t>ÖREBRO LÄN</t>
        </is>
      </c>
      <c r="G191" t="inlineStr">
        <is>
          <t>LJUSNARSBERG</t>
        </is>
      </c>
      <c r="H191" t="inlineStr">
        <is>
          <t>Bergvik skog väst AB</t>
        </is>
      </c>
      <c r="I191" t="n">
        <v>3.3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30002-2025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45826</v>
      </c>
      <c r="E192" s="1" t="n">
        <v>46313</v>
      </c>
      <c r="F192" t="inlineStr">
        <is>
          <t>ÖREBRO LÄN</t>
        </is>
      </c>
      <c r="G192" t="inlineStr">
        <is>
          <t>LJUSNARSBERG</t>
        </is>
      </c>
      <c r="H192" t="inlineStr">
        <is>
          <t>Sveaskog</t>
        </is>
      </c>
      <c r="I192" t="n">
        <v>2.4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30430-2025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45827</v>
      </c>
      <c r="E193" s="1" t="n">
        <v>46313</v>
      </c>
      <c r="F193" t="inlineStr">
        <is>
          <t>ÖREBRO LÄN</t>
        </is>
      </c>
      <c r="G193" t="inlineStr">
        <is>
          <t>LJUSNARSBERG</t>
        </is>
      </c>
      <c r="H193" t="inlineStr">
        <is>
          <t>Bergvik skog väst AB</t>
        </is>
      </c>
      <c r="I193" t="n">
        <v>1.9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33622-2025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45841</v>
      </c>
      <c r="E194" s="1" t="n">
        <v>46313</v>
      </c>
      <c r="F194" t="inlineStr">
        <is>
          <t>ÖREBRO LÄN</t>
        </is>
      </c>
      <c r="G194" t="inlineStr">
        <is>
          <t>LJUSNARSBERG</t>
        </is>
      </c>
      <c r="H194" t="inlineStr">
        <is>
          <t>Kyrkan</t>
        </is>
      </c>
      <c r="I194" t="n">
        <v>5.3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122-2025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45659</v>
      </c>
      <c r="E195" s="1" t="n">
        <v>46313</v>
      </c>
      <c r="F195" t="inlineStr">
        <is>
          <t>ÖREBRO LÄN</t>
        </is>
      </c>
      <c r="G195" t="inlineStr">
        <is>
          <t>LJUSNARSBERG</t>
        </is>
      </c>
      <c r="I195" t="n">
        <v>6.5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59629-2024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45638</v>
      </c>
      <c r="E196" s="1" t="n">
        <v>46313</v>
      </c>
      <c r="F196" t="inlineStr">
        <is>
          <t>ÖREBRO LÄN</t>
        </is>
      </c>
      <c r="G196" t="inlineStr">
        <is>
          <t>LJUSNARSBERG</t>
        </is>
      </c>
      <c r="I196" t="n">
        <v>1.9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S 880-2024</t>
        </is>
      </c>
      <c r="B197" t="inlineStr">
        <is>
          <t>samrådsanmälan</t>
        </is>
      </c>
      <c r="C197" t="inlineStr">
        <is>
          <t>Annan skogsbruksåtgärd</t>
        </is>
      </c>
      <c r="D197" s="1" t="n">
        <v>45376</v>
      </c>
      <c r="E197" s="1" t="n">
        <v>46313</v>
      </c>
      <c r="F197" t="inlineStr">
        <is>
          <t>ÖREBRO LÄN</t>
        </is>
      </c>
      <c r="G197" t="inlineStr">
        <is>
          <t>LJUSNARSBERG</t>
        </is>
      </c>
      <c r="I197" t="n">
        <v>2.3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S 3541-2022</t>
        </is>
      </c>
      <c r="B198" t="inlineStr">
        <is>
          <t>samrådsanmälan</t>
        </is>
      </c>
      <c r="C198" t="inlineStr">
        <is>
          <t>Skogsbilväg</t>
        </is>
      </c>
      <c r="D198" s="1" t="n">
        <v>44734</v>
      </c>
      <c r="E198" s="1" t="n">
        <v>46313</v>
      </c>
      <c r="F198" t="inlineStr">
        <is>
          <t>ÖREBRO LÄN</t>
        </is>
      </c>
      <c r="G198" t="inlineStr">
        <is>
          <t>LJUSNARSBERG</t>
        </is>
      </c>
      <c r="H198" t="inlineStr">
        <is>
          <t>Bergvik skog väst AB</t>
        </is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S 10473-2021</t>
        </is>
      </c>
      <c r="B199" t="inlineStr">
        <is>
          <t>samrådsanmälan</t>
        </is>
      </c>
      <c r="C199" t="inlineStr">
        <is>
          <t>Skogsbilväg</t>
        </is>
      </c>
      <c r="D199" s="1" t="n">
        <v>44559</v>
      </c>
      <c r="E199" s="1" t="n">
        <v>46313</v>
      </c>
      <c r="F199" t="inlineStr">
        <is>
          <t>ÖREBRO LÄN</t>
        </is>
      </c>
      <c r="G199" t="inlineStr">
        <is>
          <t>LJUSNARSBERG</t>
        </is>
      </c>
      <c r="H199" t="inlineStr">
        <is>
          <t>Bergvik skog väst AB</t>
        </is>
      </c>
      <c r="I199" t="n">
        <v>1.3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S 3528-2023</t>
        </is>
      </c>
      <c r="B200" t="inlineStr">
        <is>
          <t>samrådsanmälan</t>
        </is>
      </c>
      <c r="C200" t="inlineStr">
        <is>
          <t>Annan skogsbruksåtgärd</t>
        </is>
      </c>
      <c r="D200" s="1" t="n">
        <v>45205</v>
      </c>
      <c r="E200" s="1" t="n">
        <v>46313</v>
      </c>
      <c r="F200" t="inlineStr">
        <is>
          <t>ÖREBRO LÄN</t>
        </is>
      </c>
      <c r="G200" t="inlineStr">
        <is>
          <t>LJUSNARSBERG</t>
        </is>
      </c>
      <c r="H200" t="inlineStr">
        <is>
          <t>Bergvik skog väst AB</t>
        </is>
      </c>
      <c r="I200" t="n">
        <v>39.4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S 410-2022</t>
        </is>
      </c>
      <c r="B201" t="inlineStr">
        <is>
          <t>samrådsanmälan</t>
        </is>
      </c>
      <c r="C201" t="inlineStr">
        <is>
          <t>Skogsgödsling</t>
        </is>
      </c>
      <c r="D201" s="1" t="n">
        <v>44585</v>
      </c>
      <c r="E201" s="1" t="n">
        <v>46313</v>
      </c>
      <c r="F201" t="inlineStr">
        <is>
          <t>ÖREBRO LÄN</t>
        </is>
      </c>
      <c r="G201" t="inlineStr">
        <is>
          <t>LJUSNARSBERG</t>
        </is>
      </c>
      <c r="H201" t="inlineStr">
        <is>
          <t>Bergvik skog väst AB</t>
        </is>
      </c>
      <c r="I201" t="n">
        <v>36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S 4521-2023</t>
        </is>
      </c>
      <c r="B202" t="inlineStr">
        <is>
          <t>samrådsanmälan</t>
        </is>
      </c>
      <c r="C202" t="inlineStr">
        <is>
          <t>Skogsgödsling</t>
        </is>
      </c>
      <c r="D202" s="1" t="n">
        <v>45275</v>
      </c>
      <c r="E202" s="1" t="n">
        <v>46313</v>
      </c>
      <c r="F202" t="inlineStr">
        <is>
          <t>ÖREBRO LÄN</t>
        </is>
      </c>
      <c r="G202" t="inlineStr">
        <is>
          <t>LJUSNARSBERG</t>
        </is>
      </c>
      <c r="H202" t="inlineStr">
        <is>
          <t>Bergvik skog väst AB</t>
        </is>
      </c>
      <c r="I202" t="n">
        <v>20.7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S 1099-2022</t>
        </is>
      </c>
      <c r="B203" t="inlineStr">
        <is>
          <t>samrådsanmälan</t>
        </is>
      </c>
      <c r="C203" t="inlineStr">
        <is>
          <t>Skogsgödsling</t>
        </is>
      </c>
      <c r="D203" s="1" t="n">
        <v>44615</v>
      </c>
      <c r="E203" s="1" t="n">
        <v>46313</v>
      </c>
      <c r="F203" t="inlineStr">
        <is>
          <t>ÖREBRO LÄN</t>
        </is>
      </c>
      <c r="G203" t="inlineStr">
        <is>
          <t>LJUSNARSBERG</t>
        </is>
      </c>
      <c r="H203" t="inlineStr">
        <is>
          <t>Sveaskog</t>
        </is>
      </c>
      <c r="I203" t="n">
        <v>147.4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S 2836-2023</t>
        </is>
      </c>
      <c r="B204" t="inlineStr">
        <is>
          <t>samrådsanmälan</t>
        </is>
      </c>
      <c r="C204" t="inlineStr">
        <is>
          <t>Annan skogsbruksåtgärd</t>
        </is>
      </c>
      <c r="D204" s="1" t="n">
        <v>45167</v>
      </c>
      <c r="E204" s="1" t="n">
        <v>46313</v>
      </c>
      <c r="F204" t="inlineStr">
        <is>
          <t>ÖREBRO LÄN</t>
        </is>
      </c>
      <c r="G204" t="inlineStr">
        <is>
          <t>LJUSNARSBERG</t>
        </is>
      </c>
      <c r="H204" t="inlineStr">
        <is>
          <t>Bergvik skog väst AB</t>
        </is>
      </c>
      <c r="I204" t="n">
        <v>25.2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S 707-2025</t>
        </is>
      </c>
      <c r="B205" t="inlineStr">
        <is>
          <t>samrådsanmälan</t>
        </is>
      </c>
      <c r="C205" t="inlineStr">
        <is>
          <t>Skogsgödsling</t>
        </is>
      </c>
      <c r="D205" s="1" t="n">
        <v>45720</v>
      </c>
      <c r="E205" s="1" t="n">
        <v>46313</v>
      </c>
      <c r="F205" t="inlineStr">
        <is>
          <t>ÖREBRO LÄN</t>
        </is>
      </c>
      <c r="G205" t="inlineStr">
        <is>
          <t>LJUSNARSBERG</t>
        </is>
      </c>
      <c r="H205" t="inlineStr">
        <is>
          <t>Bergvik skog väst AB</t>
        </is>
      </c>
      <c r="I205" t="n">
        <v>162.6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S 1972-2025</t>
        </is>
      </c>
      <c r="B206" t="inlineStr">
        <is>
          <t>samrådsanmälan</t>
        </is>
      </c>
      <c r="C206" t="inlineStr">
        <is>
          <t>Annan skogsbruksåtgärd</t>
        </is>
      </c>
      <c r="D206" s="1" t="n">
        <v>45832</v>
      </c>
      <c r="E206" s="1" t="n">
        <v>46313</v>
      </c>
      <c r="F206" t="inlineStr">
        <is>
          <t>ÖREBRO LÄN</t>
        </is>
      </c>
      <c r="G206" t="inlineStr">
        <is>
          <t>LJUSNARSBERG</t>
        </is>
      </c>
      <c r="H206" t="inlineStr">
        <is>
          <t>Sveaskog</t>
        </is>
      </c>
      <c r="I206" t="n">
        <v>2.8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S 3578-2025</t>
        </is>
      </c>
      <c r="B207" t="inlineStr">
        <is>
          <t>samrådsanmälan</t>
        </is>
      </c>
      <c r="C207" t="inlineStr">
        <is>
          <t>Skogsgödsling</t>
        </is>
      </c>
      <c r="D207" s="1" t="n">
        <v>46010</v>
      </c>
      <c r="E207" s="1" t="n">
        <v>46313</v>
      </c>
      <c r="F207" t="inlineStr">
        <is>
          <t>ÖREBRO LÄN</t>
        </is>
      </c>
      <c r="G207" t="inlineStr">
        <is>
          <t>LJUSNARSBERG</t>
        </is>
      </c>
      <c r="H207" t="inlineStr">
        <is>
          <t>Bergvik skog väst AB</t>
        </is>
      </c>
      <c r="I207" t="n">
        <v>24.4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S 603-2026</t>
        </is>
      </c>
      <c r="B208" t="inlineStr">
        <is>
          <t>samrådsanmälan</t>
        </is>
      </c>
      <c r="C208" t="inlineStr">
        <is>
          <t>Skogsgödsling</t>
        </is>
      </c>
      <c r="D208" s="1" t="n">
        <v>46085</v>
      </c>
      <c r="E208" s="1" t="n">
        <v>46313</v>
      </c>
      <c r="F208" t="inlineStr">
        <is>
          <t>ÖREBRO LÄN</t>
        </is>
      </c>
      <c r="G208" t="inlineStr">
        <is>
          <t>LJUSNARSBERG</t>
        </is>
      </c>
      <c r="H208" t="inlineStr">
        <is>
          <t>Bergvik skog väst AB</t>
        </is>
      </c>
      <c r="I208" t="n">
        <v>125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S 1743-2026</t>
        </is>
      </c>
      <c r="B209" t="inlineStr">
        <is>
          <t>samrådsanmälan</t>
        </is>
      </c>
      <c r="C209" t="inlineStr">
        <is>
          <t>Annan skogsbruksåtgärd</t>
        </is>
      </c>
      <c r="D209" s="1" t="n">
        <v>46185</v>
      </c>
      <c r="E209" s="1" t="n">
        <v>46313</v>
      </c>
      <c r="F209" t="inlineStr">
        <is>
          <t>ÖREBRO LÄN</t>
        </is>
      </c>
      <c r="G209" t="inlineStr">
        <is>
          <t>LJUSNARSBERG</t>
        </is>
      </c>
      <c r="H209" t="inlineStr">
        <is>
          <t>Bergvik skog väst AB</t>
        </is>
      </c>
      <c r="I209" t="n">
        <v>16.8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S 1624-2026</t>
        </is>
      </c>
      <c r="B210" t="inlineStr">
        <is>
          <t>samrådsanmälan</t>
        </is>
      </c>
      <c r="C210" t="inlineStr">
        <is>
          <t>Annan skogsbruksåtgärd</t>
        </is>
      </c>
      <c r="D210" s="1" t="n">
        <v>46174</v>
      </c>
      <c r="E210" s="1" t="n">
        <v>46313</v>
      </c>
      <c r="F210" t="inlineStr">
        <is>
          <t>ÖREBRO LÄN</t>
        </is>
      </c>
      <c r="G210" t="inlineStr">
        <is>
          <t>LJUSNARSBERG</t>
        </is>
      </c>
      <c r="H210" t="inlineStr">
        <is>
          <t>Bergvik skog väst AB</t>
        </is>
      </c>
      <c r="I210" t="n">
        <v>23.6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>
      <c r="A211" t="inlineStr">
        <is>
          <t>S 2322-2026</t>
        </is>
      </c>
      <c r="B211" t="inlineStr">
        <is>
          <t>samrådsanmälan</t>
        </is>
      </c>
      <c r="C211" t="inlineStr">
        <is>
          <t>Annan skogsbruksåtgärd</t>
        </is>
      </c>
      <c r="D211" s="1" t="n">
        <v>46269</v>
      </c>
      <c r="E211" s="1" t="n">
        <v>46313</v>
      </c>
      <c r="F211" t="inlineStr">
        <is>
          <t>ÖREBRO LÄN</t>
        </is>
      </c>
      <c r="G211" t="inlineStr">
        <is>
          <t>LJUSNARSBERG</t>
        </is>
      </c>
      <c r="H211" t="inlineStr">
        <is>
          <t>Bergvik skog väst AB</t>
        </is>
      </c>
      <c r="I211" t="n">
        <v>67.09999999999999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2026-10-18T08:08:39Z</dcterms:created>
  <dcterms:modified xmlns:dcterms="http://purl.org/dc/terms/" xmlns:xsi="http://www.w3.org/2001/XMLSchema-instance" xsi:type="dcterms:W3CDTF">2026-10-18T08:08:40Z</dcterms:modified>
</cp:coreProperties>
</file>