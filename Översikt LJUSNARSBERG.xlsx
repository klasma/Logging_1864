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45627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45627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45627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45627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45627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45627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45627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45627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45627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45627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45627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45627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45627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45627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12383-2020</t>
        </is>
      </c>
      <c r="B16" s="1" t="n">
        <v>43896</v>
      </c>
      <c r="C16" s="1" t="n">
        <v>45627</v>
      </c>
      <c r="D16" t="inlineStr">
        <is>
          <t>ÖREBRO LÄN</t>
        </is>
      </c>
      <c r="E16" t="inlineStr">
        <is>
          <t>LJUSNARSBERG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HYPERLINK("https://klasma.github.io/Logging_1864/artfynd/A 12383-2020 artfynd.xlsx", "A 12383-2020")</f>
        <v/>
      </c>
      <c r="T16">
        <f>HYPERLINK("https://klasma.github.io/Logging_1864/kartor/A 12383-2020 karta.png", "A 12383-2020")</f>
        <v/>
      </c>
      <c r="V16">
        <f>HYPERLINK("https://klasma.github.io/Logging_1864/klagomål/A 12383-2020 FSC-klagomål.docx", "A 12383-2020")</f>
        <v/>
      </c>
      <c r="W16">
        <f>HYPERLINK("https://klasma.github.io/Logging_1864/klagomålsmail/A 12383-2020 FSC-klagomål mail.docx", "A 12383-2020")</f>
        <v/>
      </c>
      <c r="X16">
        <f>HYPERLINK("https://klasma.github.io/Logging_1864/tillsyn/A 12383-2020 tillsynsbegäran.docx", "A 12383-2020")</f>
        <v/>
      </c>
      <c r="Y16">
        <f>HYPERLINK("https://klasma.github.io/Logging_1864/tillsynsmail/A 12383-2020 tillsynsbegäran mail.docx", "A 12383-2020")</f>
        <v/>
      </c>
    </row>
    <row r="17" ht="15" customHeight="1">
      <c r="A17" t="inlineStr">
        <is>
          <t>A 47044-2020</t>
        </is>
      </c>
      <c r="B17" s="1" t="n">
        <v>44091</v>
      </c>
      <c r="C17" s="1" t="n">
        <v>45627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HYPERLINK("https://klasma.github.io/Logging_1864/artfynd/A 47044-2020 artfynd.xlsx", "A 47044-2020")</f>
        <v/>
      </c>
      <c r="T17">
        <f>HYPERLINK("https://klasma.github.io/Logging_1864/kartor/A 47044-2020 karta.png", "A 47044-2020")</f>
        <v/>
      </c>
      <c r="U17">
        <f>HYPERLINK("https://klasma.github.io/Logging_1864/knärot/A 47044-2020 karta knärot.png", "A 47044-2020")</f>
        <v/>
      </c>
      <c r="V17">
        <f>HYPERLINK("https://klasma.github.io/Logging_1864/klagomål/A 47044-2020 FSC-klagomål.docx", "A 47044-2020")</f>
        <v/>
      </c>
      <c r="W17">
        <f>HYPERLINK("https://klasma.github.io/Logging_1864/klagomålsmail/A 47044-2020 FSC-klagomål mail.docx", "A 47044-2020")</f>
        <v/>
      </c>
      <c r="X17">
        <f>HYPERLINK("https://klasma.github.io/Logging_1864/tillsyn/A 47044-2020 tillsynsbegäran.docx", "A 47044-2020")</f>
        <v/>
      </c>
      <c r="Y17">
        <f>HYPERLINK("https://klasma.github.io/Logging_1864/tillsynsmail/A 47044-2020 tillsynsbegäran mail.docx", "A 47044-2020")</f>
        <v/>
      </c>
    </row>
    <row r="18" ht="15" customHeight="1">
      <c r="A18" t="inlineStr">
        <is>
          <t>A 65215-2021</t>
        </is>
      </c>
      <c r="B18" s="1" t="n">
        <v>44515</v>
      </c>
      <c r="C18" s="1" t="n">
        <v>45627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HYPERLINK("https://klasma.github.io/Logging_1864/artfynd/A 65215-2021 artfynd.xlsx", "A 65215-2021")</f>
        <v/>
      </c>
      <c r="T18">
        <f>HYPERLINK("https://klasma.github.io/Logging_1864/kartor/A 65215-2021 karta.png", "A 65215-2021")</f>
        <v/>
      </c>
      <c r="V18">
        <f>HYPERLINK("https://klasma.github.io/Logging_1864/klagomål/A 65215-2021 FSC-klagomål.docx", "A 65215-2021")</f>
        <v/>
      </c>
      <c r="W18">
        <f>HYPERLINK("https://klasma.github.io/Logging_1864/klagomålsmail/A 65215-2021 FSC-klagomål mail.docx", "A 65215-2021")</f>
        <v/>
      </c>
      <c r="X18">
        <f>HYPERLINK("https://klasma.github.io/Logging_1864/tillsyn/A 65215-2021 tillsynsbegäran.docx", "A 65215-2021")</f>
        <v/>
      </c>
      <c r="Y18">
        <f>HYPERLINK("https://klasma.github.io/Logging_1864/tillsynsmail/A 65215-2021 tillsynsbegäran mail.docx", "A 65215-2021")</f>
        <v/>
      </c>
    </row>
    <row r="19" ht="15" customHeight="1">
      <c r="A19" t="inlineStr">
        <is>
          <t>A 37547-2022</t>
        </is>
      </c>
      <c r="B19" s="1" t="n">
        <v>44809</v>
      </c>
      <c r="C19" s="1" t="n">
        <v>45627</v>
      </c>
      <c r="D19" t="inlineStr">
        <is>
          <t>ÖREBRO LÄN</t>
        </is>
      </c>
      <c r="E19" t="inlineStr">
        <is>
          <t>LJUSNARSBERG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HYPERLINK("https://klasma.github.io/Logging_1864/artfynd/A 37547-2022 artfynd.xlsx", "A 37547-2022")</f>
        <v/>
      </c>
      <c r="T19">
        <f>HYPERLINK("https://klasma.github.io/Logging_1864/kartor/A 37547-2022 karta.png", "A 37547-2022")</f>
        <v/>
      </c>
      <c r="V19">
        <f>HYPERLINK("https://klasma.github.io/Logging_1864/klagomål/A 37547-2022 FSC-klagomål.docx", "A 37547-2022")</f>
        <v/>
      </c>
      <c r="W19">
        <f>HYPERLINK("https://klasma.github.io/Logging_1864/klagomålsmail/A 37547-2022 FSC-klagomål mail.docx", "A 37547-2022")</f>
        <v/>
      </c>
      <c r="X19">
        <f>HYPERLINK("https://klasma.github.io/Logging_1864/tillsyn/A 37547-2022 tillsynsbegäran.docx", "A 37547-2022")</f>
        <v/>
      </c>
      <c r="Y19">
        <f>HYPERLINK("https://klasma.github.io/Logging_1864/tillsynsmail/A 37547-2022 tillsynsbegäran mail.docx", "A 37547-2022")</f>
        <v/>
      </c>
    </row>
    <row r="20" ht="15" customHeight="1">
      <c r="A20" t="inlineStr">
        <is>
          <t>A 13233-2023</t>
        </is>
      </c>
      <c r="B20" s="1" t="n">
        <v>45002</v>
      </c>
      <c r="C20" s="1" t="n">
        <v>45627</v>
      </c>
      <c r="D20" t="inlineStr">
        <is>
          <t>ÖREBRO LÄN</t>
        </is>
      </c>
      <c r="E20" t="inlineStr">
        <is>
          <t>LJUSNARSBERG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Tunnvingemätare</t>
        </is>
      </c>
      <c r="S20">
        <f>HYPERLINK("https://klasma.github.io/Logging_1864/artfynd/A 13233-2023 artfynd.xlsx", "A 13233-2023")</f>
        <v/>
      </c>
      <c r="T20">
        <f>HYPERLINK("https://klasma.github.io/Logging_1864/kartor/A 13233-2023 karta.png", "A 13233-2023")</f>
        <v/>
      </c>
      <c r="V20">
        <f>HYPERLINK("https://klasma.github.io/Logging_1864/klagomål/A 13233-2023 FSC-klagomål.docx", "A 13233-2023")</f>
        <v/>
      </c>
      <c r="W20">
        <f>HYPERLINK("https://klasma.github.io/Logging_1864/klagomålsmail/A 13233-2023 FSC-klagomål mail.docx", "A 13233-2023")</f>
        <v/>
      </c>
      <c r="X20">
        <f>HYPERLINK("https://klasma.github.io/Logging_1864/tillsyn/A 13233-2023 tillsynsbegäran.docx", "A 13233-2023")</f>
        <v/>
      </c>
      <c r="Y20">
        <f>HYPERLINK("https://klasma.github.io/Logging_1864/tillsynsmail/A 13233-2023 tillsynsbegäran mail.docx", "A 13233-2023")</f>
        <v/>
      </c>
    </row>
    <row r="21" ht="15" customHeight="1">
      <c r="A21" t="inlineStr">
        <is>
          <t>A 34042-2023</t>
        </is>
      </c>
      <c r="B21" s="1" t="n">
        <v>45125</v>
      </c>
      <c r="C21" s="1" t="n">
        <v>45627</v>
      </c>
      <c r="D21" t="inlineStr">
        <is>
          <t>ÖREBRO LÄN</t>
        </is>
      </c>
      <c r="E21" t="inlineStr">
        <is>
          <t>LJUSNARSBERG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HYPERLINK("https://klasma.github.io/Logging_1864/artfynd/A 34042-2023 artfynd.xlsx", "A 34042-2023")</f>
        <v/>
      </c>
      <c r="T21">
        <f>HYPERLINK("https://klasma.github.io/Logging_1864/kartor/A 34042-2023 karta.png", "A 34042-2023")</f>
        <v/>
      </c>
      <c r="V21">
        <f>HYPERLINK("https://klasma.github.io/Logging_1864/klagomål/A 34042-2023 FSC-klagomål.docx", "A 34042-2023")</f>
        <v/>
      </c>
      <c r="W21">
        <f>HYPERLINK("https://klasma.github.io/Logging_1864/klagomålsmail/A 34042-2023 FSC-klagomål mail.docx", "A 34042-2023")</f>
        <v/>
      </c>
      <c r="X21">
        <f>HYPERLINK("https://klasma.github.io/Logging_1864/tillsyn/A 34042-2023 tillsynsbegäran.docx", "A 34042-2023")</f>
        <v/>
      </c>
      <c r="Y21">
        <f>HYPERLINK("https://klasma.github.io/Logging_1864/tillsynsmail/A 34042-2023 tillsynsbegäran mail.docx", "A 34042-2023")</f>
        <v/>
      </c>
    </row>
    <row r="22" ht="15" customHeight="1">
      <c r="A22" t="inlineStr">
        <is>
          <t>A 40812-2023</t>
        </is>
      </c>
      <c r="B22" s="1" t="n">
        <v>45171</v>
      </c>
      <c r="C22" s="1" t="n">
        <v>45627</v>
      </c>
      <c r="D22" t="inlineStr">
        <is>
          <t>ÖREBRO LÄN</t>
        </is>
      </c>
      <c r="E22" t="inlineStr">
        <is>
          <t>LJUSNARSBERG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HYPERLINK("https://klasma.github.io/Logging_1864/artfynd/A 40812-2023 artfynd.xlsx", "A 40812-2023")</f>
        <v/>
      </c>
      <c r="T22">
        <f>HYPERLINK("https://klasma.github.io/Logging_1864/kartor/A 40812-2023 karta.png", "A 40812-2023")</f>
        <v/>
      </c>
      <c r="V22">
        <f>HYPERLINK("https://klasma.github.io/Logging_1864/klagomål/A 40812-2023 FSC-klagomål.docx", "A 40812-2023")</f>
        <v/>
      </c>
      <c r="W22">
        <f>HYPERLINK("https://klasma.github.io/Logging_1864/klagomålsmail/A 40812-2023 FSC-klagomål mail.docx", "A 40812-2023")</f>
        <v/>
      </c>
      <c r="X22">
        <f>HYPERLINK("https://klasma.github.io/Logging_1864/tillsyn/A 40812-2023 tillsynsbegäran.docx", "A 40812-2023")</f>
        <v/>
      </c>
      <c r="Y22">
        <f>HYPERLINK("https://klasma.github.io/Logging_1864/tillsynsmail/A 40812-2023 tillsynsbegäran mail.docx", "A 40812-2023")</f>
        <v/>
      </c>
      <c r="Z22">
        <f>HYPERLINK("https://klasma.github.io/Logging_1864/fåglar/A 40812-2023 prioriterade fågelarter.docx", "A 40812-2023")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45627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41609-2024</t>
        </is>
      </c>
      <c r="B24" s="1" t="n">
        <v>45560</v>
      </c>
      <c r="C24" s="1" t="n">
        <v>45627</v>
      </c>
      <c r="D24" t="inlineStr">
        <is>
          <t>ÖREBRO LÄN</t>
        </is>
      </c>
      <c r="E24" t="inlineStr">
        <is>
          <t>LJUSNARSBERG</t>
        </is>
      </c>
      <c r="G24" t="n">
        <v>51.2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41609-2024 artfynd.xlsx", "A 41609-2024")</f>
        <v/>
      </c>
      <c r="T24">
        <f>HYPERLINK("https://klasma.github.io/Logging_1864/kartor/A 41609-2024 karta.png", "A 41609-2024")</f>
        <v/>
      </c>
      <c r="V24">
        <f>HYPERLINK("https://klasma.github.io/Logging_1864/klagomål/A 41609-2024 FSC-klagomål.docx", "A 41609-2024")</f>
        <v/>
      </c>
      <c r="W24">
        <f>HYPERLINK("https://klasma.github.io/Logging_1864/klagomålsmail/A 41609-2024 FSC-klagomål mail.docx", "A 41609-2024")</f>
        <v/>
      </c>
      <c r="X24">
        <f>HYPERLINK("https://klasma.github.io/Logging_1864/tillsyn/A 41609-2024 tillsynsbegäran.docx", "A 41609-2024")</f>
        <v/>
      </c>
      <c r="Y24">
        <f>HYPERLINK("https://klasma.github.io/Logging_1864/tillsynsmail/A 41609-2024 tillsynsbegäran mail.docx", "A 41609-2024")</f>
        <v/>
      </c>
    </row>
    <row r="25" ht="15" customHeight="1">
      <c r="A25" t="inlineStr">
        <is>
          <t>A 18595-2019</t>
        </is>
      </c>
      <c r="B25" s="1" t="n">
        <v>43560</v>
      </c>
      <c r="C25" s="1" t="n">
        <v>45627</v>
      </c>
      <c r="D25" t="inlineStr">
        <is>
          <t>ÖREBRO LÄN</t>
        </is>
      </c>
      <c r="E25" t="inlineStr">
        <is>
          <t>LJUSNARSBERG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19184-2019</t>
        </is>
      </c>
      <c r="B26" s="1" t="n">
        <v>43564</v>
      </c>
      <c r="C26" s="1" t="n">
        <v>45627</v>
      </c>
      <c r="D26" t="inlineStr">
        <is>
          <t>ÖREBRO LÄN</t>
        </is>
      </c>
      <c r="E26" t="inlineStr">
        <is>
          <t>LJUSNARSBERG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19192-2019</t>
        </is>
      </c>
      <c r="B27" s="1" t="n">
        <v>43564</v>
      </c>
      <c r="C27" s="1" t="n">
        <v>45627</v>
      </c>
      <c r="D27" t="inlineStr">
        <is>
          <t>ÖREBRO LÄN</t>
        </is>
      </c>
      <c r="E27" t="inlineStr">
        <is>
          <t>LJUSNARSBERG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19221-2019</t>
        </is>
      </c>
      <c r="B28" s="1" t="n">
        <v>43564</v>
      </c>
      <c r="C28" s="1" t="n">
        <v>45627</v>
      </c>
      <c r="D28" t="inlineStr">
        <is>
          <t>ÖREBRO LÄN</t>
        </is>
      </c>
      <c r="E28" t="inlineStr">
        <is>
          <t>LJUSNARSBERG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20601-2019</t>
        </is>
      </c>
      <c r="B29" s="1" t="n">
        <v>43572</v>
      </c>
      <c r="C29" s="1" t="n">
        <v>45627</v>
      </c>
      <c r="D29" t="inlineStr">
        <is>
          <t>ÖREBRO LÄN</t>
        </is>
      </c>
      <c r="E29" t="inlineStr">
        <is>
          <t>LJUSNARSBERG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22661-2019</t>
        </is>
      </c>
      <c r="B30" s="1" t="n">
        <v>43588</v>
      </c>
      <c r="C30" s="1" t="n">
        <v>45627</v>
      </c>
      <c r="D30" t="inlineStr">
        <is>
          <t>ÖREBRO LÄN</t>
        </is>
      </c>
      <c r="E30" t="inlineStr">
        <is>
          <t>LJUSNARSBERG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22723-2019</t>
        </is>
      </c>
      <c r="B31" s="1" t="n">
        <v>43588</v>
      </c>
      <c r="C31" s="1" t="n">
        <v>45627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25125-2019</t>
        </is>
      </c>
      <c r="B32" s="1" t="n">
        <v>43605</v>
      </c>
      <c r="C32" s="1" t="n">
        <v>45627</v>
      </c>
      <c r="D32" t="inlineStr">
        <is>
          <t>ÖREBRO LÄN</t>
        </is>
      </c>
      <c r="E32" t="inlineStr">
        <is>
          <t>LJUSNARSBERG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25175-2019</t>
        </is>
      </c>
      <c r="B33" s="1" t="n">
        <v>43605</v>
      </c>
      <c r="C33" s="1" t="n">
        <v>45627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29980-2019</t>
        </is>
      </c>
      <c r="B34" s="1" t="n">
        <v>43633</v>
      </c>
      <c r="C34" s="1" t="n">
        <v>45627</v>
      </c>
      <c r="D34" t="inlineStr">
        <is>
          <t>ÖREBRO LÄN</t>
        </is>
      </c>
      <c r="E34" t="inlineStr">
        <is>
          <t>LJUSNARSBERG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29983-2019</t>
        </is>
      </c>
      <c r="B35" s="1" t="n">
        <v>43633</v>
      </c>
      <c r="C35" s="1" t="n">
        <v>45627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32320-2019</t>
        </is>
      </c>
      <c r="B36" s="1" t="n">
        <v>43644</v>
      </c>
      <c r="C36" s="1" t="n">
        <v>45627</v>
      </c>
      <c r="D36" t="inlineStr">
        <is>
          <t>ÖREBRO LÄN</t>
        </is>
      </c>
      <c r="E36" t="inlineStr">
        <is>
          <t>LJUSNARSBERG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35840-2019</t>
        </is>
      </c>
      <c r="B37" s="1" t="n">
        <v>43656</v>
      </c>
      <c r="C37" s="1" t="n">
        <v>45627</v>
      </c>
      <c r="D37" t="inlineStr">
        <is>
          <t>ÖREBRO LÄN</t>
        </is>
      </c>
      <c r="E37" t="inlineStr">
        <is>
          <t>LJUSNARSBERG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35826-2019</t>
        </is>
      </c>
      <c r="B38" s="1" t="n">
        <v>43656</v>
      </c>
      <c r="C38" s="1" t="n">
        <v>45627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35836-2019</t>
        </is>
      </c>
      <c r="B39" s="1" t="n">
        <v>43656</v>
      </c>
      <c r="C39" s="1" t="n">
        <v>45627</v>
      </c>
      <c r="D39" t="inlineStr">
        <is>
          <t>ÖREBRO LÄN</t>
        </is>
      </c>
      <c r="E39" t="inlineStr">
        <is>
          <t>LJUSNARSBERG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35843-2019</t>
        </is>
      </c>
      <c r="B40" s="1" t="n">
        <v>43656</v>
      </c>
      <c r="C40" s="1" t="n">
        <v>45627</v>
      </c>
      <c r="D40" t="inlineStr">
        <is>
          <t>ÖREBRO LÄN</t>
        </is>
      </c>
      <c r="E40" t="inlineStr">
        <is>
          <t>LJUSNARSBERG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35776-2019</t>
        </is>
      </c>
      <c r="B41" s="1" t="n">
        <v>43656</v>
      </c>
      <c r="C41" s="1" t="n">
        <v>45627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40720-2019</t>
        </is>
      </c>
      <c r="B42" s="1" t="n">
        <v>43697</v>
      </c>
      <c r="C42" s="1" t="n">
        <v>45627</v>
      </c>
      <c r="D42" t="inlineStr">
        <is>
          <t>ÖREBRO LÄN</t>
        </is>
      </c>
      <c r="E42" t="inlineStr">
        <is>
          <t>LJUSNARSBERG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43870-2019</t>
        </is>
      </c>
      <c r="B43" s="1" t="n">
        <v>43707</v>
      </c>
      <c r="C43" s="1" t="n">
        <v>45627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45813-2019</t>
        </is>
      </c>
      <c r="B44" s="1" t="n">
        <v>43717</v>
      </c>
      <c r="C44" s="1" t="n">
        <v>45627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46899-2019</t>
        </is>
      </c>
      <c r="B45" s="1" t="n">
        <v>43719</v>
      </c>
      <c r="C45" s="1" t="n">
        <v>45627</v>
      </c>
      <c r="D45" t="inlineStr">
        <is>
          <t>ÖREBRO LÄN</t>
        </is>
      </c>
      <c r="E45" t="inlineStr">
        <is>
          <t>LJUSNARSBERG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50485-2019</t>
        </is>
      </c>
      <c r="B46" s="1" t="n">
        <v>43735</v>
      </c>
      <c r="C46" s="1" t="n">
        <v>45627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55979-2019</t>
        </is>
      </c>
      <c r="B47" s="1" t="n">
        <v>43759</v>
      </c>
      <c r="C47" s="1" t="n">
        <v>45627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60066-2019</t>
        </is>
      </c>
      <c r="B48" s="1" t="n">
        <v>43777</v>
      </c>
      <c r="C48" s="1" t="n">
        <v>45627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60009-2019</t>
        </is>
      </c>
      <c r="B49" s="1" t="n">
        <v>43777</v>
      </c>
      <c r="C49" s="1" t="n">
        <v>45627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60069-2019</t>
        </is>
      </c>
      <c r="B50" s="1" t="n">
        <v>43777</v>
      </c>
      <c r="C50" s="1" t="n">
        <v>45627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60243-2019</t>
        </is>
      </c>
      <c r="B51" s="1" t="n">
        <v>43780</v>
      </c>
      <c r="C51" s="1" t="n">
        <v>45627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60192-2019</t>
        </is>
      </c>
      <c r="B52" s="1" t="n">
        <v>43780</v>
      </c>
      <c r="C52" s="1" t="n">
        <v>45627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60733-2019</t>
        </is>
      </c>
      <c r="B53" s="1" t="n">
        <v>43781</v>
      </c>
      <c r="C53" s="1" t="n">
        <v>45627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61510-2019</t>
        </is>
      </c>
      <c r="B54" s="1" t="n">
        <v>43783</v>
      </c>
      <c r="C54" s="1" t="n">
        <v>45627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65185-2019</t>
        </is>
      </c>
      <c r="B55" s="1" t="n">
        <v>43796</v>
      </c>
      <c r="C55" s="1" t="n">
        <v>45627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64675-2019</t>
        </is>
      </c>
      <c r="B56" s="1" t="n">
        <v>43798</v>
      </c>
      <c r="C56" s="1" t="n">
        <v>45627</v>
      </c>
      <c r="D56" t="inlineStr">
        <is>
          <t>ÖREBRO LÄN</t>
        </is>
      </c>
      <c r="E56" t="inlineStr">
        <is>
          <t>LJUSNARSBERG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64860-2019</t>
        </is>
      </c>
      <c r="B57" s="1" t="n">
        <v>43801</v>
      </c>
      <c r="C57" s="1" t="n">
        <v>45627</v>
      </c>
      <c r="D57" t="inlineStr">
        <is>
          <t>ÖREBRO LÄN</t>
        </is>
      </c>
      <c r="E57" t="inlineStr">
        <is>
          <t>LJUSNARSBERG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65251-2019</t>
        </is>
      </c>
      <c r="B58" s="1" t="n">
        <v>43802</v>
      </c>
      <c r="C58" s="1" t="n">
        <v>45627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65920-2019</t>
        </is>
      </c>
      <c r="B59" s="1" t="n">
        <v>43805</v>
      </c>
      <c r="C59" s="1" t="n">
        <v>45627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67236-2019</t>
        </is>
      </c>
      <c r="B60" s="1" t="n">
        <v>43812</v>
      </c>
      <c r="C60" s="1" t="n">
        <v>45627</v>
      </c>
      <c r="D60" t="inlineStr">
        <is>
          <t>ÖREBRO LÄN</t>
        </is>
      </c>
      <c r="E60" t="inlineStr">
        <is>
          <t>LJUSNARSBERG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8421-2020</t>
        </is>
      </c>
      <c r="B61" s="1" t="n">
        <v>43874</v>
      </c>
      <c r="C61" s="1" t="n">
        <v>45627</v>
      </c>
      <c r="D61" t="inlineStr">
        <is>
          <t>ÖREBRO LÄN</t>
        </is>
      </c>
      <c r="E61" t="inlineStr">
        <is>
          <t>LJUSNARSBERG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10684-2020</t>
        </is>
      </c>
      <c r="B62" s="1" t="n">
        <v>43888</v>
      </c>
      <c r="C62" s="1" t="n">
        <v>45627</v>
      </c>
      <c r="D62" t="inlineStr">
        <is>
          <t>ÖREBRO LÄN</t>
        </is>
      </c>
      <c r="E62" t="inlineStr">
        <is>
          <t>LJUSNARSBERG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13605-2020</t>
        </is>
      </c>
      <c r="B63" s="1" t="n">
        <v>43895</v>
      </c>
      <c r="C63" s="1" t="n">
        <v>45627</v>
      </c>
      <c r="D63" t="inlineStr">
        <is>
          <t>ÖREBRO LÄN</t>
        </is>
      </c>
      <c r="E63" t="inlineStr">
        <is>
          <t>LJUSNARSBERG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13591-2020</t>
        </is>
      </c>
      <c r="B64" s="1" t="n">
        <v>43903</v>
      </c>
      <c r="C64" s="1" t="n">
        <v>45627</v>
      </c>
      <c r="D64" t="inlineStr">
        <is>
          <t>ÖREBRO LÄN</t>
        </is>
      </c>
      <c r="E64" t="inlineStr">
        <is>
          <t>LJUSNARSBERG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18527-2020</t>
        </is>
      </c>
      <c r="B65" s="1" t="n">
        <v>43927</v>
      </c>
      <c r="C65" s="1" t="n">
        <v>45627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24995-2020</t>
        </is>
      </c>
      <c r="B66" s="1" t="n">
        <v>43979</v>
      </c>
      <c r="C66" s="1" t="n">
        <v>45627</v>
      </c>
      <c r="D66" t="inlineStr">
        <is>
          <t>ÖREBRO LÄN</t>
        </is>
      </c>
      <c r="E66" t="inlineStr">
        <is>
          <t>LJUSNARSBERG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25862-2020</t>
        </is>
      </c>
      <c r="B67" s="1" t="n">
        <v>43984</v>
      </c>
      <c r="C67" s="1" t="n">
        <v>45627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31511-2020</t>
        </is>
      </c>
      <c r="B68" s="1" t="n">
        <v>44013</v>
      </c>
      <c r="C68" s="1" t="n">
        <v>45627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35874-2020</t>
        </is>
      </c>
      <c r="B69" s="1" t="n">
        <v>44047</v>
      </c>
      <c r="C69" s="1" t="n">
        <v>45627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35913-2020</t>
        </is>
      </c>
      <c r="B70" s="1" t="n">
        <v>44047</v>
      </c>
      <c r="C70" s="1" t="n">
        <v>45627</v>
      </c>
      <c r="D70" t="inlineStr">
        <is>
          <t>ÖREBRO LÄN</t>
        </is>
      </c>
      <c r="E70" t="inlineStr">
        <is>
          <t>LJUSNARSBERG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35960-2020</t>
        </is>
      </c>
      <c r="B71" s="1" t="n">
        <v>44047</v>
      </c>
      <c r="C71" s="1" t="n">
        <v>45627</v>
      </c>
      <c r="D71" t="inlineStr">
        <is>
          <t>ÖREBRO LÄN</t>
        </is>
      </c>
      <c r="E71" t="inlineStr">
        <is>
          <t>LJUSNARSBERG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36601-2020</t>
        </is>
      </c>
      <c r="B72" s="1" t="n">
        <v>44050</v>
      </c>
      <c r="C72" s="1" t="n">
        <v>45627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38911-2020</t>
        </is>
      </c>
      <c r="B73" s="1" t="n">
        <v>44062</v>
      </c>
      <c r="C73" s="1" t="n">
        <v>45627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41381-2020</t>
        </is>
      </c>
      <c r="B74" s="1" t="n">
        <v>44072</v>
      </c>
      <c r="C74" s="1" t="n">
        <v>45627</v>
      </c>
      <c r="D74" t="inlineStr">
        <is>
          <t>ÖREBRO LÄN</t>
        </is>
      </c>
      <c r="E74" t="inlineStr">
        <is>
          <t>LJUSNARSBERG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52919-2020</t>
        </is>
      </c>
      <c r="B75" s="1" t="n">
        <v>44120</v>
      </c>
      <c r="C75" s="1" t="n">
        <v>45627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55248-2020</t>
        </is>
      </c>
      <c r="B76" s="1" t="n">
        <v>44130</v>
      </c>
      <c r="C76" s="1" t="n">
        <v>45627</v>
      </c>
      <c r="D76" t="inlineStr">
        <is>
          <t>ÖREBRO LÄN</t>
        </is>
      </c>
      <c r="E76" t="inlineStr">
        <is>
          <t>LJUSNARSBERG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59516-2020</t>
        </is>
      </c>
      <c r="B77" s="1" t="n">
        <v>44148</v>
      </c>
      <c r="C77" s="1" t="n">
        <v>45627</v>
      </c>
      <c r="D77" t="inlineStr">
        <is>
          <t>ÖREBRO LÄN</t>
        </is>
      </c>
      <c r="E77" t="inlineStr">
        <is>
          <t>LJUSNARSBERG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59517-2020</t>
        </is>
      </c>
      <c r="B78" s="1" t="n">
        <v>44148</v>
      </c>
      <c r="C78" s="1" t="n">
        <v>45627</v>
      </c>
      <c r="D78" t="inlineStr">
        <is>
          <t>ÖREBRO LÄN</t>
        </is>
      </c>
      <c r="E78" t="inlineStr">
        <is>
          <t>LJUSNARSBERG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66209-2020</t>
        </is>
      </c>
      <c r="B79" s="1" t="n">
        <v>44175</v>
      </c>
      <c r="C79" s="1" t="n">
        <v>45627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1577-2021</t>
        </is>
      </c>
      <c r="B80" s="1" t="n">
        <v>44209</v>
      </c>
      <c r="C80" s="1" t="n">
        <v>45627</v>
      </c>
      <c r="D80" t="inlineStr">
        <is>
          <t>ÖREBRO LÄN</t>
        </is>
      </c>
      <c r="E80" t="inlineStr">
        <is>
          <t>LJUSNARSBERG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4876-2021</t>
        </is>
      </c>
      <c r="B81" s="1" t="n">
        <v>44225</v>
      </c>
      <c r="C81" s="1" t="n">
        <v>45627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4964-2021</t>
        </is>
      </c>
      <c r="B82" s="1" t="n">
        <v>44228</v>
      </c>
      <c r="C82" s="1" t="n">
        <v>45627</v>
      </c>
      <c r="D82" t="inlineStr">
        <is>
          <t>ÖREBRO LÄN</t>
        </is>
      </c>
      <c r="E82" t="inlineStr">
        <is>
          <t>LJUSNARSBERG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14153-2021</t>
        </is>
      </c>
      <c r="B83" s="1" t="n">
        <v>44278</v>
      </c>
      <c r="C83" s="1" t="n">
        <v>45627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14249-2021</t>
        </is>
      </c>
      <c r="B84" s="1" t="n">
        <v>44278</v>
      </c>
      <c r="C84" s="1" t="n">
        <v>45627</v>
      </c>
      <c r="D84" t="inlineStr">
        <is>
          <t>ÖREBRO LÄN</t>
        </is>
      </c>
      <c r="E84" t="inlineStr">
        <is>
          <t>LJUSNARSBERG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15329-2021</t>
        </is>
      </c>
      <c r="B85" s="1" t="n">
        <v>44284</v>
      </c>
      <c r="C85" s="1" t="n">
        <v>45627</v>
      </c>
      <c r="D85" t="inlineStr">
        <is>
          <t>ÖREBRO LÄN</t>
        </is>
      </c>
      <c r="E85" t="inlineStr">
        <is>
          <t>LJUSNARSBERG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15403-2021</t>
        </is>
      </c>
      <c r="B86" s="1" t="n">
        <v>44284</v>
      </c>
      <c r="C86" s="1" t="n">
        <v>45627</v>
      </c>
      <c r="D86" t="inlineStr">
        <is>
          <t>ÖREBRO LÄN</t>
        </is>
      </c>
      <c r="E86" t="inlineStr">
        <is>
          <t>LJUSNARSBERG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15325-2021</t>
        </is>
      </c>
      <c r="B87" s="1" t="n">
        <v>44284</v>
      </c>
      <c r="C87" s="1" t="n">
        <v>45627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18080-2021</t>
        </is>
      </c>
      <c r="B88" s="1" t="n">
        <v>44302</v>
      </c>
      <c r="C88" s="1" t="n">
        <v>45627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22869-2021</t>
        </is>
      </c>
      <c r="B89" s="1" t="n">
        <v>44328</v>
      </c>
      <c r="C89" s="1" t="n">
        <v>45627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23196-2021</t>
        </is>
      </c>
      <c r="B90" s="1" t="n">
        <v>44333</v>
      </c>
      <c r="C90" s="1" t="n">
        <v>45627</v>
      </c>
      <c r="D90" t="inlineStr">
        <is>
          <t>ÖREBRO LÄN</t>
        </is>
      </c>
      <c r="E90" t="inlineStr">
        <is>
          <t>LJUSNARSBERG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26597-2021</t>
        </is>
      </c>
      <c r="B91" s="1" t="n">
        <v>44348</v>
      </c>
      <c r="C91" s="1" t="n">
        <v>45627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26536-2021</t>
        </is>
      </c>
      <c r="B92" s="1" t="n">
        <v>44348</v>
      </c>
      <c r="C92" s="1" t="n">
        <v>45627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29651-2021</t>
        </is>
      </c>
      <c r="B93" s="1" t="n">
        <v>44362</v>
      </c>
      <c r="C93" s="1" t="n">
        <v>45627</v>
      </c>
      <c r="D93" t="inlineStr">
        <is>
          <t>ÖREBRO LÄN</t>
        </is>
      </c>
      <c r="E93" t="inlineStr">
        <is>
          <t>LJUSNARSBERG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30148-2021</t>
        </is>
      </c>
      <c r="B94" s="1" t="n">
        <v>44363</v>
      </c>
      <c r="C94" s="1" t="n">
        <v>45627</v>
      </c>
      <c r="D94" t="inlineStr">
        <is>
          <t>ÖREBRO LÄN</t>
        </is>
      </c>
      <c r="E94" t="inlineStr">
        <is>
          <t>LJUSNARSBERG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31050-2021</t>
        </is>
      </c>
      <c r="B95" s="1" t="n">
        <v>44368</v>
      </c>
      <c r="C95" s="1" t="n">
        <v>45627</v>
      </c>
      <c r="D95" t="inlineStr">
        <is>
          <t>ÖREBRO LÄN</t>
        </is>
      </c>
      <c r="E95" t="inlineStr">
        <is>
          <t>LJUSNARSBERG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31549-2021</t>
        </is>
      </c>
      <c r="B96" s="1" t="n">
        <v>44369</v>
      </c>
      <c r="C96" s="1" t="n">
        <v>45627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33031-2021</t>
        </is>
      </c>
      <c r="B97" s="1" t="n">
        <v>44376</v>
      </c>
      <c r="C97" s="1" t="n">
        <v>45627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33060-2021</t>
        </is>
      </c>
      <c r="B98" s="1" t="n">
        <v>44376</v>
      </c>
      <c r="C98" s="1" t="n">
        <v>45627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35794-2021</t>
        </is>
      </c>
      <c r="B99" s="1" t="n">
        <v>44386</v>
      </c>
      <c r="C99" s="1" t="n">
        <v>45627</v>
      </c>
      <c r="D99" t="inlineStr">
        <is>
          <t>ÖREBRO LÄN</t>
        </is>
      </c>
      <c r="E99" t="inlineStr">
        <is>
          <t>LJUSNARSBERG</t>
        </is>
      </c>
      <c r="G99" t="n">
        <v>37.5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36547-2021</t>
        </is>
      </c>
      <c r="B100" s="1" t="n">
        <v>44391</v>
      </c>
      <c r="C100" s="1" t="n">
        <v>45627</v>
      </c>
      <c r="D100" t="inlineStr">
        <is>
          <t>ÖREBRO LÄN</t>
        </is>
      </c>
      <c r="E100" t="inlineStr">
        <is>
          <t>LJUSNARSBERG</t>
        </is>
      </c>
      <c r="G100" t="n">
        <v>23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39187-2021</t>
        </is>
      </c>
      <c r="B101" s="1" t="n">
        <v>44412</v>
      </c>
      <c r="C101" s="1" t="n">
        <v>45627</v>
      </c>
      <c r="D101" t="inlineStr">
        <is>
          <t>ÖREBRO LÄN</t>
        </is>
      </c>
      <c r="E101" t="inlineStr">
        <is>
          <t>LJUSNARSBERG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41453-2021</t>
        </is>
      </c>
      <c r="B102" s="1" t="n">
        <v>44424</v>
      </c>
      <c r="C102" s="1" t="n">
        <v>45627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43996-2021</t>
        </is>
      </c>
      <c r="B103" s="1" t="n">
        <v>44434</v>
      </c>
      <c r="C103" s="1" t="n">
        <v>45627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45627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45627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45627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45627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45627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45627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45627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45627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45627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45627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45627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45627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45627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45627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45627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45627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45627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45627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45627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45627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45627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45627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45627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45627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45627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45627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45627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45627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45627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45627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45627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45627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45627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45627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45627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45627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45627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45627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45627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45627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45627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45627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45627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45627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45627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45627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45627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45627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45627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45627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45627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45627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45627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45627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45627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45627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45627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45627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45627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45627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45627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45627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45627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45627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45627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45627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45627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45627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45627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45627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45627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45627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45627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45627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45627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45627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45627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45627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45627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45627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45627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45627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45627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45627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45627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45627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45627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45627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45627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45627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45627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45627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45627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45627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45627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45627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45627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45627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45627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45627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45627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45627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45627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45627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45627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45627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45627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45627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45627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45627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45627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45627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45627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45627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45627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45627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45627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45627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45627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45627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45627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45627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45627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45627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45627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45627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45627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45627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45627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45627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45627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45627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45627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45627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45627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45627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45627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45627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45627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45627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45627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45627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45627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45627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45627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45627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45627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45627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45627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45627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45627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45627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45627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45627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45627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45627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45627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45627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45627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45627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45627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45627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45627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45627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45627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45627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45627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45627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45627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45627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45627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45627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45627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45627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45627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45627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45627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45627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45627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45627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45627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45627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45627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45627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45627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45627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45627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45627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45627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45627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45627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45627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45627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45627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45627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45627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45627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45627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45627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45627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45627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45627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45627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45627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45627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45627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45627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45627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45627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45627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45627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45627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45627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45627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45627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45627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45627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45627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45627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45627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45627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45627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45627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45627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45627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45627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45627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45627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45627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45627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45627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45627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45627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45627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45627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45627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45627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45627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45627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45627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45627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45627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45627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45627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45627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45627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45627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45627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45627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45627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45627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45627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45627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45627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45627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45627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45627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45627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45627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45627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45627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45627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45627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53594-2024</t>
        </is>
      </c>
      <c r="B367" s="1" t="n">
        <v>45614</v>
      </c>
      <c r="C367" s="1" t="n">
        <v>45627</v>
      </c>
      <c r="D367" t="inlineStr">
        <is>
          <t>ÖREBRO LÄN</t>
        </is>
      </c>
      <c r="E367" t="inlineStr">
        <is>
          <t>LJUSNARSBERG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53726-2024</t>
        </is>
      </c>
      <c r="B368" s="1" t="n">
        <v>45614</v>
      </c>
      <c r="C368" s="1" t="n">
        <v>45627</v>
      </c>
      <c r="D368" t="inlineStr">
        <is>
          <t>ÖREBRO LÄN</t>
        </is>
      </c>
      <c r="E368" t="inlineStr">
        <is>
          <t>LJUSNARSBERG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45627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45627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45627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45627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45627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45627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45627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2024-12-01T15:28:42Z</dcterms:created>
  <dcterms:modified xmlns:dcterms="http://purl.org/dc/terms/" xmlns:xsi="http://www.w3.org/2001/XMLSchema-instance" xsi:type="dcterms:W3CDTF">2024-12-01T15:28:43Z</dcterms:modified>
</cp:coreProperties>
</file>