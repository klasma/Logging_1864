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46239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46239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46239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46239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46239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46239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46239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46239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46239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46239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46239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45536-2024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45578</v>
      </c>
      <c r="E17" s="1" t="n">
        <v>46239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Tvåblad
Fläcknycklar</t>
        </is>
      </c>
      <c r="W17">
        <f>HYPERLINK("https://klasma.github.io/Logging_1864/artfynd/A 45536-2024 artfynd.xlsx", "A 45536-2024")</f>
        <v/>
      </c>
      <c r="X17">
        <f>HYPERLINK("https://klasma.github.io/Logging_1864/kartor/A 45536-2024 karta.png", "A 45536-2024")</f>
        <v/>
      </c>
      <c r="Y17">
        <f>HYPERLINK("https://klasma.github.io/Logging_1864/kartor_geotiff/A 45536-2024 georefererad karta.tif", "A 45536-2024")</f>
        <v/>
      </c>
      <c r="AA17">
        <f>HYPERLINK("https://klasma.github.io/Logging_1864/klagomål/A 45536-2024 FSC-klagomål.docx", "A 45536-2024")</f>
        <v/>
      </c>
      <c r="AB17">
        <f>HYPERLINK("https://klasma.github.io/Logging_1864/klagomålsmail/A 45536-2024 FSC-klagomål mail.docx", "A 45536-2024")</f>
        <v/>
      </c>
      <c r="AC17">
        <f>HYPERLINK("https://klasma.github.io/Logging_1864/tillsyn/A 45536-2024 tillsynsbegäran.docx", "A 45536-2024")</f>
        <v/>
      </c>
      <c r="AD17">
        <f>HYPERLINK("https://klasma.github.io/Logging_1864/tillsynsmail/A 45536-2024 tillsynsbegäran mail.docx", "A 45536-2024")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46239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46239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46239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46239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Aspfjädermossa
Smal svampklubba</t>
        </is>
      </c>
      <c r="W21">
        <f>HYPERLINK("https://klasma.github.io/Logging_1864/artfynd/A 53729-2024 artfynd.xlsx", "A 53729-2024")</f>
        <v/>
      </c>
      <c r="X21">
        <f>HYPERLINK("https://klasma.github.io/Logging_1864/kartor/A 53729-2024 karta.png", "A 53729-2024")</f>
        <v/>
      </c>
      <c r="Y21">
        <f>HYPERLINK("https://klasma.github.io/Logging_1864/kartor_geotiff/A 53729-2024 georefererad karta.tif", "A 53729-2024")</f>
        <v/>
      </c>
      <c r="AA21">
        <f>HYPERLINK("https://klasma.github.io/Logging_1864/klagomål/A 53729-2024 FSC-klagomål.docx", "A 53729-2024")</f>
        <v/>
      </c>
      <c r="AB21">
        <f>HYPERLINK("https://klasma.github.io/Logging_1864/klagomålsmail/A 53729-2024 FSC-klagomål mail.docx", "A 53729-2024")</f>
        <v/>
      </c>
      <c r="AC21">
        <f>HYPERLINK("https://klasma.github.io/Logging_1864/tillsyn/A 53729-2024 tillsynsbegäran.docx", "A 53729-2024")</f>
        <v/>
      </c>
      <c r="AD21">
        <f>HYPERLINK("https://klasma.github.io/Logging_1864/tillsynsmail/A 53729-2024 tillsynsbegäran mail.docx", "A 53729-2024")</f>
        <v/>
      </c>
    </row>
    <row r="22" ht="15" customHeight="1">
      <c r="A22" t="inlineStr">
        <is>
          <t>A 49157-2023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46239</v>
      </c>
      <c r="F22" t="inlineStr">
        <is>
          <t>ÖREBRO LÄN</t>
        </is>
      </c>
      <c r="G22" t="inlineStr">
        <is>
          <t>LJUSNARSBERG</t>
        </is>
      </c>
      <c r="I22" t="n">
        <v>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Rödgul trumpetsvamp
Skogshakmossa</t>
        </is>
      </c>
      <c r="W22">
        <f>HYPERLINK("https://klasma.github.io/Logging_1864/artfynd/A 49157-2023 artfynd.xlsx", "A 49157-2023")</f>
        <v/>
      </c>
      <c r="X22">
        <f>HYPERLINK("https://klasma.github.io/Logging_1864/kartor/A 49157-2023 karta.png", "A 49157-2023")</f>
        <v/>
      </c>
      <c r="Y22">
        <f>HYPERLINK("https://klasma.github.io/Logging_1864/kartor_geotiff/A 49157-2023 georefererad karta.tif", "A 49157-2023")</f>
        <v/>
      </c>
      <c r="AA22">
        <f>HYPERLINK("https://klasma.github.io/Logging_1864/klagomål/A 49157-2023 FSC-klagomål.docx", "A 49157-2023")</f>
        <v/>
      </c>
      <c r="AB22">
        <f>HYPERLINK("https://klasma.github.io/Logging_1864/klagomålsmail/A 49157-2023 FSC-klagomål mail.docx", "A 49157-2023")</f>
        <v/>
      </c>
      <c r="AC22">
        <f>HYPERLINK("https://klasma.github.io/Logging_1864/tillsyn/A 49157-2023 tillsynsbegäran.docx", "A 49157-2023")</f>
        <v/>
      </c>
      <c r="AD22">
        <f>HYPERLINK("https://klasma.github.io/Logging_1864/tillsynsmail/A 49157-2023 tillsynsbegäran mail.docx", "A 49157-2023")</f>
        <v/>
      </c>
    </row>
    <row r="23" ht="15" customHeight="1">
      <c r="A23" t="inlineStr">
        <is>
          <t>A 39095-2022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44817</v>
      </c>
      <c r="E23" s="1" t="n">
        <v>46239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HYPERLINK("https://klasma.github.io/Logging_1864/artfynd/A 39095-2022 artfynd.xlsx", "A 39095-2022")</f>
        <v/>
      </c>
      <c r="X23">
        <f>HYPERLINK("https://klasma.github.io/Logging_1864/kartor/A 39095-2022 karta.png", "A 39095-2022")</f>
        <v/>
      </c>
      <c r="Y23">
        <f>HYPERLINK("https://klasma.github.io/Logging_1864/kartor_geotiff/A 39095-2022 georefererad karta.tif", "A 39095-2022")</f>
        <v/>
      </c>
      <c r="AA23">
        <f>HYPERLINK("https://klasma.github.io/Logging_1864/klagomål/A 39095-2022 FSC-klagomål.docx", "A 39095-2022")</f>
        <v/>
      </c>
      <c r="AB23">
        <f>HYPERLINK("https://klasma.github.io/Logging_1864/klagomålsmail/A 39095-2022 FSC-klagomål mail.docx", "A 39095-2022")</f>
        <v/>
      </c>
      <c r="AC23">
        <f>HYPERLINK("https://klasma.github.io/Logging_1864/tillsyn/A 39095-2022 tillsynsbegäran.docx", "A 39095-2022")</f>
        <v/>
      </c>
      <c r="AD23">
        <f>HYPERLINK("https://klasma.github.io/Logging_1864/tillsynsmail/A 39095-2022 tillsynsbegäran mail.docx", "A 39095-2022")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46239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Vedticka</t>
        </is>
      </c>
      <c r="W24">
        <f>HYPERLINK("https://klasma.github.io/Logging_1864/artfynd/A 56179-2024 artfynd.xlsx", "A 56179-2024")</f>
        <v/>
      </c>
      <c r="X24">
        <f>HYPERLINK("https://klasma.github.io/Logging_1864/kartor/A 56179-2024 karta.png", "A 56179-2024")</f>
        <v/>
      </c>
      <c r="Y24">
        <f>HYPERLINK("https://klasma.github.io/Logging_1864/kartor_geotiff/A 56179-2024 georefererad karta.tif", "A 56179-2024")</f>
        <v/>
      </c>
      <c r="AA24">
        <f>HYPERLINK("https://klasma.github.io/Logging_1864/klagomål/A 56179-2024 FSC-klagomål.docx", "A 56179-2024")</f>
        <v/>
      </c>
      <c r="AB24">
        <f>HYPERLINK("https://klasma.github.io/Logging_1864/klagomålsmail/A 56179-2024 FSC-klagomål mail.docx", "A 56179-2024")</f>
        <v/>
      </c>
      <c r="AC24">
        <f>HYPERLINK("https://klasma.github.io/Logging_1864/tillsyn/A 56179-2024 tillsynsbegäran.docx", "A 56179-2024")</f>
        <v/>
      </c>
      <c r="AD24">
        <f>HYPERLINK("https://klasma.github.io/Logging_1864/tillsynsmail/A 56179-2024 tillsynsbegäran mail.docx", "A 56179-2024")</f>
        <v/>
      </c>
    </row>
    <row r="25" ht="15" customHeight="1">
      <c r="A25" t="inlineStr">
        <is>
          <t>A 39514-2025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46239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Nattviol</t>
        </is>
      </c>
      <c r="W25">
        <f>HYPERLINK("https://klasma.github.io/Logging_1864/artfynd/A 39514-2025 artfynd.xlsx", "A 39514-2025")</f>
        <v/>
      </c>
      <c r="X25">
        <f>HYPERLINK("https://klasma.github.io/Logging_1864/kartor/A 39514-2025 karta.png", "A 39514-2025")</f>
        <v/>
      </c>
      <c r="Y25">
        <f>HYPERLINK("https://klasma.github.io/Logging_1864/kartor_geotiff/A 39514-2025 georefererad karta.tif", "A 39514-2025")</f>
        <v/>
      </c>
      <c r="AA25">
        <f>HYPERLINK("https://klasma.github.io/Logging_1864/klagomål/A 39514-2025 FSC-klagomål.docx", "A 39514-2025")</f>
        <v/>
      </c>
      <c r="AB25">
        <f>HYPERLINK("https://klasma.github.io/Logging_1864/klagomålsmail/A 39514-2025 FSC-klagomål mail.docx", "A 39514-2025")</f>
        <v/>
      </c>
      <c r="AC25">
        <f>HYPERLINK("https://klasma.github.io/Logging_1864/tillsyn/A 39514-2025 tillsynsbegäran.docx", "A 39514-2025")</f>
        <v/>
      </c>
      <c r="AD25">
        <f>HYPERLINK("https://klasma.github.io/Logging_1864/tillsynsmail/A 39514-2025 tillsynsbegäran mail.docx", "A 39514-2025")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46239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HYPERLINK("https://klasma.github.io/Logging_1864/artfynd/A 20797-2022 artfynd.xlsx", "A 20797-2022")</f>
        <v/>
      </c>
      <c r="X26">
        <f>HYPERLINK("https://klasma.github.io/Logging_1864/kartor/A 20797-2022 karta.png", "A 20797-2022")</f>
        <v/>
      </c>
      <c r="Y26">
        <f>HYPERLINK("https://klasma.github.io/Logging_1864/kartor_geotiff/A 20797-2022 georefererad karta.tif", "A 20797-2022")</f>
        <v/>
      </c>
      <c r="AA26">
        <f>HYPERLINK("https://klasma.github.io/Logging_1864/klagomål/A 20797-2022 FSC-klagomål.docx", "A 20797-2022")</f>
        <v/>
      </c>
      <c r="AB26">
        <f>HYPERLINK("https://klasma.github.io/Logging_1864/klagomålsmail/A 20797-2022 FSC-klagomål mail.docx", "A 20797-2022")</f>
        <v/>
      </c>
      <c r="AC26">
        <f>HYPERLINK("https://klasma.github.io/Logging_1864/tillsyn/A 20797-2022 tillsynsbegäran.docx", "A 20797-2022")</f>
        <v/>
      </c>
      <c r="AD26">
        <f>HYPERLINK("https://klasma.github.io/Logging_1864/tillsynsmail/A 20797-2022 tillsynsbegäran mail.docx", "A 20797-2022")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46239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24791-2024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45460</v>
      </c>
      <c r="E28" s="1" t="n">
        <v>46239</v>
      </c>
      <c r="F28" t="inlineStr">
        <is>
          <t>ÖREBRO LÄN</t>
        </is>
      </c>
      <c r="G28" t="inlineStr">
        <is>
          <t>LJUSNARSBERG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3</v>
      </c>
      <c r="V28" s="2" t="inlineStr">
        <is>
          <t>Spillkråka</t>
        </is>
      </c>
      <c r="W28">
        <f>HYPERLINK("https://klasma.github.io/Logging_1864/artfynd/A 24791-2024 artfynd.xlsx", "A 24791-2024")</f>
        <v/>
      </c>
      <c r="X28">
        <f>HYPERLINK("https://klasma.github.io/Logging_1864/kartor/A 24791-2024 karta.png", "A 24791-2024")</f>
        <v/>
      </c>
      <c r="Y28">
        <f>HYPERLINK("https://klasma.github.io/Logging_1864/kartor_geotiff/A 24791-2024 georefererad karta.tif", "A 24791-2024")</f>
        <v/>
      </c>
      <c r="AA28">
        <f>HYPERLINK("https://klasma.github.io/Logging_1864/klagomål/A 24791-2024 FSC-klagomål.docx", "A 24791-2024")</f>
        <v/>
      </c>
      <c r="AB28">
        <f>HYPERLINK("https://klasma.github.io/Logging_1864/klagomålsmail/A 24791-2024 FSC-klagomål mail.docx", "A 24791-2024")</f>
        <v/>
      </c>
      <c r="AC28">
        <f>HYPERLINK("https://klasma.github.io/Logging_1864/tillsyn/A 24791-2024 tillsynsbegäran.docx", "A 24791-2024")</f>
        <v/>
      </c>
      <c r="AD28">
        <f>HYPERLINK("https://klasma.github.io/Logging_1864/tillsynsmail/A 24791-2024 tillsynsbegäran mail.docx", "A 24791-2024")</f>
        <v/>
      </c>
      <c r="AE28">
        <f>HYPERLINK("https://klasma.github.io/Logging_1864/fåglar/A 24791-2024 prioriterade fågelarter.docx", "A 24791-2024")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46239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56859-2025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46239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vattensalamander</t>
        </is>
      </c>
      <c r="W30">
        <f>HYPERLINK("https://klasma.github.io/Logging_1864/artfynd/A 56859-2025 artfynd.xlsx", "A 56859-2025")</f>
        <v/>
      </c>
      <c r="X30">
        <f>HYPERLINK("https://klasma.github.io/Logging_1864/kartor/A 56859-2025 karta.png", "A 56859-2025")</f>
        <v/>
      </c>
      <c r="Y30">
        <f>HYPERLINK("https://klasma.github.io/Logging_1864/kartor_geotiff/A 56859-2025 georefererad karta.tif", "A 56859-2025")</f>
        <v/>
      </c>
      <c r="AA30">
        <f>HYPERLINK("https://klasma.github.io/Logging_1864/klagomål/A 56859-2025 FSC-klagomål.docx", "A 56859-2025")</f>
        <v/>
      </c>
      <c r="AB30">
        <f>HYPERLINK("https://klasma.github.io/Logging_1864/klagomålsmail/A 56859-2025 FSC-klagomål mail.docx", "A 56859-2025")</f>
        <v/>
      </c>
      <c r="AC30">
        <f>HYPERLINK("https://klasma.github.io/Logging_1864/tillsyn/A 56859-2025 tillsynsbegäran.docx", "A 56859-2025")</f>
        <v/>
      </c>
      <c r="AD30">
        <f>HYPERLINK("https://klasma.github.io/Logging_1864/tillsynsmail/A 56859-2025 tillsynsbegäran mail.docx", "A 56859-2025")</f>
        <v/>
      </c>
    </row>
    <row r="31" ht="15" customHeight="1">
      <c r="A31" t="inlineStr">
        <is>
          <t>A 24348-2026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46239</v>
      </c>
      <c r="F31" t="inlineStr">
        <is>
          <t>ÖREBRO LÄN</t>
        </is>
      </c>
      <c r="G31" t="inlineStr">
        <is>
          <t>LJUSNARSBERG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HYPERLINK("https://klasma.github.io/Logging_1864/artfynd/A 24348-2026 artfynd.xlsx", "A 24348-2026")</f>
        <v/>
      </c>
      <c r="X31">
        <f>HYPERLINK("https://klasma.github.io/Logging_1864/kartor/A 24348-2026 karta.png", "A 24348-2026")</f>
        <v/>
      </c>
      <c r="Y31">
        <f>HYPERLINK("https://klasma.github.io/Logging_1864/kartor_geotiff/A 24348-2026 georefererad karta.tif", "A 24348-2026")</f>
        <v/>
      </c>
      <c r="AA31">
        <f>HYPERLINK("https://klasma.github.io/Logging_1864/klagomål/A 24348-2026 FSC-klagomål.docx", "A 24348-2026")</f>
        <v/>
      </c>
      <c r="AB31">
        <f>HYPERLINK("https://klasma.github.io/Logging_1864/klagomålsmail/A 24348-2026 FSC-klagomål mail.docx", "A 24348-2026")</f>
        <v/>
      </c>
      <c r="AC31">
        <f>HYPERLINK("https://klasma.github.io/Logging_1864/tillsyn/A 24348-2026 tillsynsbegäran.docx", "A 24348-2026")</f>
        <v/>
      </c>
      <c r="AD31">
        <f>HYPERLINK("https://klasma.github.io/Logging_1864/tillsynsmail/A 24348-2026 tillsynsbegäran mail.docx", "A 24348-2026")</f>
        <v/>
      </c>
      <c r="AE31">
        <f>HYPERLINK("https://klasma.github.io/Logging_1864/fåglar/A 24348-2026 prioriterade fågelarter.docx", "A 24348-2026")</f>
        <v/>
      </c>
    </row>
    <row r="32" ht="15" customHeight="1">
      <c r="A32" t="inlineStr">
        <is>
          <t>A 19940-2026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46239</v>
      </c>
      <c r="F32" t="inlineStr">
        <is>
          <t>ÖREBRO LÄN</t>
        </is>
      </c>
      <c r="G32" t="inlineStr">
        <is>
          <t>LJUSNARSBERG</t>
        </is>
      </c>
      <c r="H32" t="inlineStr">
        <is>
          <t>Sveaskog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HYPERLINK("https://klasma.github.io/Logging_1864/artfynd/A 19940-2026 artfynd.xlsx", "A 19940-2026")</f>
        <v/>
      </c>
      <c r="X32">
        <f>HYPERLINK("https://klasma.github.io/Logging_1864/kartor/A 19940-2026 karta.png", "A 19940-2026")</f>
        <v/>
      </c>
      <c r="Y32">
        <f>HYPERLINK("https://klasma.github.io/Logging_1864/kartor_geotiff/A 19940-2026 georefererad karta.tif", "A 19940-2026")</f>
        <v/>
      </c>
      <c r="AA32">
        <f>HYPERLINK("https://klasma.github.io/Logging_1864/klagomål/A 19940-2026 FSC-klagomål.docx", "A 19940-2026")</f>
        <v/>
      </c>
      <c r="AB32">
        <f>HYPERLINK("https://klasma.github.io/Logging_1864/klagomålsmail/A 19940-2026 FSC-klagomål mail.docx", "A 19940-2026")</f>
        <v/>
      </c>
      <c r="AC32">
        <f>HYPERLINK("https://klasma.github.io/Logging_1864/tillsyn/A 19940-2026 tillsynsbegäran.docx", "A 19940-2026")</f>
        <v/>
      </c>
      <c r="AD32">
        <f>HYPERLINK("https://klasma.github.io/Logging_1864/tillsynsmail/A 19940-2026 tillsynsbegäran mail.docx", "A 19940-2026")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46239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46239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46239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46239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46239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46239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46239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46239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46239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44595</v>
      </c>
      <c r="E42" s="1" t="n">
        <v>46239</v>
      </c>
      <c r="F42" t="inlineStr">
        <is>
          <t>ÖREBRO LÄN</t>
        </is>
      </c>
      <c r="G42" t="inlineStr">
        <is>
          <t>LJUSNARSBERG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46239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44282-2021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46239</v>
      </c>
      <c r="F44" t="inlineStr">
        <is>
          <t>ÖREBRO LÄN</t>
        </is>
      </c>
      <c r="G44" t="inlineStr">
        <is>
          <t>LJUSNARSBERG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46239</v>
      </c>
      <c r="F45" t="inlineStr">
        <is>
          <t>ÖREBRO LÄN</t>
        </is>
      </c>
      <c r="G45" t="inlineStr">
        <is>
          <t>LJUSNARSBERG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46239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46239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46239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46239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46239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44482</v>
      </c>
      <c r="E51" s="1" t="n">
        <v>46239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17.8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44999</v>
      </c>
      <c r="E52" s="1" t="n">
        <v>46239</v>
      </c>
      <c r="F52" t="inlineStr">
        <is>
          <t>ÖREBRO LÄN</t>
        </is>
      </c>
      <c r="G52" t="inlineStr">
        <is>
          <t>LJUSNARSBERG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45399</v>
      </c>
      <c r="E53" s="1" t="n">
        <v>46239</v>
      </c>
      <c r="F53" t="inlineStr">
        <is>
          <t>ÖREBRO LÄN</t>
        </is>
      </c>
      <c r="G53" t="inlineStr">
        <is>
          <t>LJUSNARSBERG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46239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20673-2025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45776</v>
      </c>
      <c r="E55" s="1" t="n">
        <v>46239</v>
      </c>
      <c r="F55" t="inlineStr">
        <is>
          <t>ÖREBRO LÄN</t>
        </is>
      </c>
      <c r="G55" t="inlineStr">
        <is>
          <t>LJUSNARSBERG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46239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44607</v>
      </c>
      <c r="E57" s="1" t="n">
        <v>46239</v>
      </c>
      <c r="F57" t="inlineStr">
        <is>
          <t>ÖREBRO LÄN</t>
        </is>
      </c>
      <c r="G57" t="inlineStr">
        <is>
          <t>LJUSNARSBERG</t>
        </is>
      </c>
      <c r="H57" t="inlineStr">
        <is>
          <t>Kyrkan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62843-2021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46239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42761-2023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45177</v>
      </c>
      <c r="E59" s="1" t="n">
        <v>46239</v>
      </c>
      <c r="F59" t="inlineStr">
        <is>
          <t>ÖREBRO LÄN</t>
        </is>
      </c>
      <c r="G59" t="inlineStr">
        <is>
          <t>LJUSNARSBERG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46239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46239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46239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46239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46239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46239</v>
      </c>
      <c r="F65" t="inlineStr">
        <is>
          <t>ÖREBRO LÄN</t>
        </is>
      </c>
      <c r="G65" t="inlineStr">
        <is>
          <t>LJUSNARSBERG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45390</v>
      </c>
      <c r="E66" s="1" t="n">
        <v>46239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46239</v>
      </c>
      <c r="F67" t="inlineStr">
        <is>
          <t>ÖREBRO LÄN</t>
        </is>
      </c>
      <c r="G67" t="inlineStr">
        <is>
          <t>LJUSNARSBERG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45764</v>
      </c>
      <c r="E68" s="1" t="n">
        <v>46239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46239</v>
      </c>
      <c r="F69" t="inlineStr">
        <is>
          <t>ÖREBRO LÄN</t>
        </is>
      </c>
      <c r="G69" t="inlineStr">
        <is>
          <t>LJUSNARSBERG</t>
        </is>
      </c>
      <c r="H69" t="inlineStr">
        <is>
          <t>Kyrkan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46239</v>
      </c>
      <c r="F70" t="inlineStr">
        <is>
          <t>ÖREBRO LÄN</t>
        </is>
      </c>
      <c r="G70" t="inlineStr">
        <is>
          <t>LJUSNARSBERG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44468</v>
      </c>
      <c r="E71" s="1" t="n">
        <v>46239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46239</v>
      </c>
      <c r="F72" t="inlineStr">
        <is>
          <t>ÖREBRO LÄN</t>
        </is>
      </c>
      <c r="G72" t="inlineStr">
        <is>
          <t>LJUSNARSBERG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45574</v>
      </c>
      <c r="E73" s="1" t="n">
        <v>46239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46239</v>
      </c>
      <c r="F74" t="inlineStr">
        <is>
          <t>ÖREBRO LÄN</t>
        </is>
      </c>
      <c r="G74" t="inlineStr">
        <is>
          <t>LJUSNARSBERG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46239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30774-2023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46239</v>
      </c>
      <c r="F76" t="inlineStr">
        <is>
          <t>ÖREBRO LÄN</t>
        </is>
      </c>
      <c r="G76" t="inlineStr">
        <is>
          <t>LJUSNARSBERG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46239</v>
      </c>
      <c r="F77" t="inlineStr">
        <is>
          <t>ÖREBRO LÄN</t>
        </is>
      </c>
      <c r="G77" t="inlineStr">
        <is>
          <t>LJUSNARSBERG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46239</v>
      </c>
      <c r="F78" t="inlineStr">
        <is>
          <t>ÖREBRO LÄN</t>
        </is>
      </c>
      <c r="G78" t="inlineStr">
        <is>
          <t>LJUSNARSBERG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46239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45124</v>
      </c>
      <c r="E80" s="1" t="n">
        <v>46239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45347</v>
      </c>
      <c r="E81" s="1" t="n">
        <v>46239</v>
      </c>
      <c r="F81" t="inlineStr">
        <is>
          <t>ÖREBRO LÄN</t>
        </is>
      </c>
      <c r="G81" t="inlineStr">
        <is>
          <t>LJUSNARSBERG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45035</v>
      </c>
      <c r="E82" s="1" t="n">
        <v>46239</v>
      </c>
      <c r="F82" t="inlineStr">
        <is>
          <t>ÖREBRO LÄN</t>
        </is>
      </c>
      <c r="G82" t="inlineStr">
        <is>
          <t>LJUSNARSBERG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46239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44880</v>
      </c>
      <c r="E84" s="1" t="n">
        <v>46239</v>
      </c>
      <c r="F84" t="inlineStr">
        <is>
          <t>ÖREBRO LÄN</t>
        </is>
      </c>
      <c r="G84" t="inlineStr">
        <is>
          <t>LJUSNARSBERG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46239</v>
      </c>
      <c r="F85" t="inlineStr">
        <is>
          <t>ÖREBRO LÄN</t>
        </is>
      </c>
      <c r="G85" t="inlineStr">
        <is>
          <t>LJUSNARSBERG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44916</v>
      </c>
      <c r="E86" s="1" t="n">
        <v>46239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45030</v>
      </c>
      <c r="E87" s="1" t="n">
        <v>46239</v>
      </c>
      <c r="F87" t="inlineStr">
        <is>
          <t>ÖREBRO LÄN</t>
        </is>
      </c>
      <c r="G87" t="inlineStr">
        <is>
          <t>LJUSNARSBERG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59497-2024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45638</v>
      </c>
      <c r="E88" s="1" t="n">
        <v>46239</v>
      </c>
      <c r="F88" t="inlineStr">
        <is>
          <t>ÖREBRO LÄN</t>
        </is>
      </c>
      <c r="G88" t="inlineStr">
        <is>
          <t>LJUSNARSBERG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22887-2024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45448</v>
      </c>
      <c r="E89" s="1" t="n">
        <v>46239</v>
      </c>
      <c r="F89" t="inlineStr">
        <is>
          <t>ÖREBRO LÄN</t>
        </is>
      </c>
      <c r="G89" t="inlineStr">
        <is>
          <t>LJUSNARSBERG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46239</v>
      </c>
      <c r="F90" t="inlineStr">
        <is>
          <t>ÖREBRO LÄN</t>
        </is>
      </c>
      <c r="G90" t="inlineStr">
        <is>
          <t>LJUSNARSBERG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46239</v>
      </c>
      <c r="F91" t="inlineStr">
        <is>
          <t>ÖREBRO LÄN</t>
        </is>
      </c>
      <c r="G91" t="inlineStr">
        <is>
          <t>LJUSNARSBERG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31357-2025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46239</v>
      </c>
      <c r="F92" t="inlineStr">
        <is>
          <t>ÖREBRO LÄN</t>
        </is>
      </c>
      <c r="G92" t="inlineStr">
        <is>
          <t>LJUSNARSBERG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46239</v>
      </c>
      <c r="F93" t="inlineStr">
        <is>
          <t>ÖREBRO LÄN</t>
        </is>
      </c>
      <c r="G93" t="inlineStr">
        <is>
          <t>LJUSNARSBERG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46239</v>
      </c>
      <c r="F94" t="inlineStr">
        <is>
          <t>ÖREBRO LÄN</t>
        </is>
      </c>
      <c r="G94" t="inlineStr">
        <is>
          <t>LJUSNARSBERG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46239</v>
      </c>
      <c r="F95" t="inlineStr">
        <is>
          <t>ÖREBRO LÄN</t>
        </is>
      </c>
      <c r="G95" t="inlineStr">
        <is>
          <t>LJUSNARSBERG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46239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46239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45578</v>
      </c>
      <c r="E98" s="1" t="n">
        <v>46239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46239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8.699999999999999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46239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46239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46239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46239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46239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46239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45578</v>
      </c>
      <c r="E106" s="1" t="n">
        <v>46239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46239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46239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46239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46239</v>
      </c>
      <c r="F110" t="inlineStr">
        <is>
          <t>ÖREBRO LÄN</t>
        </is>
      </c>
      <c r="G110" t="inlineStr">
        <is>
          <t>LJUSNARSBERG</t>
        </is>
      </c>
      <c r="I110" t="n">
        <v>17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46239</v>
      </c>
      <c r="F111" t="inlineStr">
        <is>
          <t>ÖREBRO LÄN</t>
        </is>
      </c>
      <c r="G111" t="inlineStr">
        <is>
          <t>LJUSNARSBERG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44720</v>
      </c>
      <c r="E112" s="1" t="n">
        <v>46239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46239</v>
      </c>
      <c r="F113" t="inlineStr">
        <is>
          <t>ÖREBRO LÄN</t>
        </is>
      </c>
      <c r="G113" t="inlineStr">
        <is>
          <t>LJUSNARSBERG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44479-2025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45916</v>
      </c>
      <c r="E114" s="1" t="n">
        <v>46239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46239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44720</v>
      </c>
      <c r="E116" s="1" t="n">
        <v>46239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46239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46239</v>
      </c>
      <c r="F118" t="inlineStr">
        <is>
          <t>ÖREBRO LÄN</t>
        </is>
      </c>
      <c r="G118" t="inlineStr">
        <is>
          <t>LJUSNARSBERG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46239</v>
      </c>
      <c r="F119" t="inlineStr">
        <is>
          <t>ÖREBRO LÄN</t>
        </is>
      </c>
      <c r="G119" t="inlineStr">
        <is>
          <t>LJUSNARSBERG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46239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46239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46239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44690</v>
      </c>
      <c r="E123" s="1" t="n">
        <v>46239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46239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46239</v>
      </c>
      <c r="F125" t="inlineStr">
        <is>
          <t>ÖREBRO LÄN</t>
        </is>
      </c>
      <c r="G125" t="inlineStr">
        <is>
          <t>LJUSNARSBERG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46239</v>
      </c>
      <c r="F126" t="inlineStr">
        <is>
          <t>ÖREBRO LÄN</t>
        </is>
      </c>
      <c r="G126" t="inlineStr">
        <is>
          <t>LJUSNARSBERG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46239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45934</v>
      </c>
      <c r="E128" s="1" t="n">
        <v>46239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45934</v>
      </c>
      <c r="E129" s="1" t="n">
        <v>46239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25574-2023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45089</v>
      </c>
      <c r="E130" s="1" t="n">
        <v>46239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46239</v>
      </c>
      <c r="F131" t="inlineStr">
        <is>
          <t>ÖREBRO LÄN</t>
        </is>
      </c>
      <c r="G131" t="inlineStr">
        <is>
          <t>LJUSNARSBERG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45934</v>
      </c>
      <c r="E132" s="1" t="n">
        <v>46239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46239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46239</v>
      </c>
      <c r="F134" t="inlineStr">
        <is>
          <t>ÖREBRO LÄN</t>
        </is>
      </c>
      <c r="G134" t="inlineStr">
        <is>
          <t>LJUSNARSBERG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46239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46239</v>
      </c>
      <c r="F136" t="inlineStr">
        <is>
          <t>ÖREBRO LÄN</t>
        </is>
      </c>
      <c r="G136" t="inlineStr">
        <is>
          <t>LJUSNARSBERG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45934</v>
      </c>
      <c r="E137" s="1" t="n">
        <v>46239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59495-2024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45638</v>
      </c>
      <c r="E138" s="1" t="n">
        <v>46239</v>
      </c>
      <c r="F138" t="inlineStr">
        <is>
          <t>ÖREBRO LÄN</t>
        </is>
      </c>
      <c r="G138" t="inlineStr">
        <is>
          <t>LJUSNARSBERG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46239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47017-2025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46239</v>
      </c>
      <c r="F140" t="inlineStr">
        <is>
          <t>ÖREBRO LÄN</t>
        </is>
      </c>
      <c r="G140" t="inlineStr">
        <is>
          <t>LJUSNARSBERG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46239</v>
      </c>
      <c r="F141" t="inlineStr">
        <is>
          <t>ÖREBRO LÄN</t>
        </is>
      </c>
      <c r="G141" t="inlineStr">
        <is>
          <t>LJUSNARSBERG</t>
        </is>
      </c>
      <c r="I141" t="n">
        <v>14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50865-2025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45946</v>
      </c>
      <c r="E142" s="1" t="n">
        <v>46239</v>
      </c>
      <c r="F142" t="inlineStr">
        <is>
          <t>ÖREBRO LÄN</t>
        </is>
      </c>
      <c r="G142" t="inlineStr">
        <is>
          <t>LJUSNARSBERG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46239</v>
      </c>
      <c r="F143" t="inlineStr">
        <is>
          <t>ÖREBRO LÄN</t>
        </is>
      </c>
      <c r="G143" t="inlineStr">
        <is>
          <t>LJUSNARSBERG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46239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46239</v>
      </c>
      <c r="F145" t="inlineStr">
        <is>
          <t>ÖREBRO LÄN</t>
        </is>
      </c>
      <c r="G145" t="inlineStr">
        <is>
          <t>LJUSNARSBERG</t>
        </is>
      </c>
      <c r="I145" t="n">
        <v>10.8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53595-2024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45614</v>
      </c>
      <c r="E146" s="1" t="n">
        <v>46239</v>
      </c>
      <c r="F146" t="inlineStr">
        <is>
          <t>ÖREBRO LÄN</t>
        </is>
      </c>
      <c r="G146" t="inlineStr">
        <is>
          <t>LJUSNARSBERG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45478</v>
      </c>
      <c r="E147" s="1" t="n">
        <v>46239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46239</v>
      </c>
      <c r="F148" t="inlineStr">
        <is>
          <t>ÖREBRO LÄN</t>
        </is>
      </c>
      <c r="G148" t="inlineStr">
        <is>
          <t>LJUSNARSBERG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46239</v>
      </c>
      <c r="F149" t="inlineStr">
        <is>
          <t>ÖREBRO LÄN</t>
        </is>
      </c>
      <c r="G149" t="inlineStr">
        <is>
          <t>LJUSNARSBERG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48780-2024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45593</v>
      </c>
      <c r="E150" s="1" t="n">
        <v>46239</v>
      </c>
      <c r="F150" t="inlineStr">
        <is>
          <t>ÖREBRO LÄN</t>
        </is>
      </c>
      <c r="G150" t="inlineStr">
        <is>
          <t>LJUSNARSBERG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46239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46239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44956</v>
      </c>
      <c r="E153" s="1" t="n">
        <v>46239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46239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46239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46239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46239</v>
      </c>
      <c r="F157" t="inlineStr">
        <is>
          <t>ÖREBRO LÄN</t>
        </is>
      </c>
      <c r="G157" t="inlineStr">
        <is>
          <t>LJUSNARSBERG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46239</v>
      </c>
      <c r="F158" t="inlineStr">
        <is>
          <t>ÖREBRO LÄN</t>
        </is>
      </c>
      <c r="G158" t="inlineStr">
        <is>
          <t>LJUSNARSBERG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46167</v>
      </c>
      <c r="E159" s="1" t="n">
        <v>46239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46239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46167</v>
      </c>
      <c r="E161" s="1" t="n">
        <v>46239</v>
      </c>
      <c r="F161" t="inlineStr">
        <is>
          <t>ÖREBRO LÄN</t>
        </is>
      </c>
      <c r="G161" t="inlineStr">
        <is>
          <t>LJUSNARSBERG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46239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44565</v>
      </c>
      <c r="E163" s="1" t="n">
        <v>46239</v>
      </c>
      <c r="F163" t="inlineStr">
        <is>
          <t>ÖREBRO LÄN</t>
        </is>
      </c>
      <c r="G163" t="inlineStr">
        <is>
          <t>LJUSNARSBERG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46013</v>
      </c>
      <c r="E164" s="1" t="n">
        <v>46239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46239</v>
      </c>
      <c r="F165" t="inlineStr">
        <is>
          <t>ÖREBRO LÄN</t>
        </is>
      </c>
      <c r="G165" t="inlineStr">
        <is>
          <t>LJUSNARSBERG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46239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46239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46239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46239</v>
      </c>
      <c r="F169" t="inlineStr">
        <is>
          <t>ÖREBRO LÄN</t>
        </is>
      </c>
      <c r="G169" t="inlineStr">
        <is>
          <t>LJUSNARSBERG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46239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46263-2021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44442</v>
      </c>
      <c r="E171" s="1" t="n">
        <v>46239</v>
      </c>
      <c r="F171" t="inlineStr">
        <is>
          <t>ÖREBRO LÄN</t>
        </is>
      </c>
      <c r="G171" t="inlineStr">
        <is>
          <t>LJUSNARSBERG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46239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46239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45086</v>
      </c>
      <c r="E174" s="1" t="n">
        <v>46239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45394</v>
      </c>
      <c r="E175" s="1" t="n">
        <v>46239</v>
      </c>
      <c r="F175" t="inlineStr">
        <is>
          <t>ÖREBRO LÄN</t>
        </is>
      </c>
      <c r="G175" t="inlineStr">
        <is>
          <t>LJUSNARSBERG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67746-2021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44524</v>
      </c>
      <c r="E176" s="1" t="n">
        <v>46239</v>
      </c>
      <c r="F176" t="inlineStr">
        <is>
          <t>ÖREBRO LÄN</t>
        </is>
      </c>
      <c r="G176" t="inlineStr">
        <is>
          <t>LJUSNARSBERG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44917</v>
      </c>
      <c r="E177" s="1" t="n">
        <v>46239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46239</v>
      </c>
      <c r="F178" t="inlineStr">
        <is>
          <t>ÖREBRO LÄN</t>
        </is>
      </c>
      <c r="G178" t="inlineStr">
        <is>
          <t>LJUSNARSBERG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44564</v>
      </c>
      <c r="E179" s="1" t="n">
        <v>46239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46239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46239</v>
      </c>
      <c r="F181" t="inlineStr">
        <is>
          <t>ÖREBRO LÄN</t>
        </is>
      </c>
      <c r="G181" t="inlineStr">
        <is>
          <t>LJUSNARSBERG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46133</v>
      </c>
      <c r="E182" s="1" t="n">
        <v>46239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46239</v>
      </c>
      <c r="F183" t="inlineStr">
        <is>
          <t>ÖREBRO LÄN</t>
        </is>
      </c>
      <c r="G183" t="inlineStr">
        <is>
          <t>LJUSNARSBERG</t>
        </is>
      </c>
      <c r="H183" t="inlineStr">
        <is>
          <t>Sveaskog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46136</v>
      </c>
      <c r="E184" s="1" t="n">
        <v>46239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45217</v>
      </c>
      <c r="E185" s="1" t="n">
        <v>46239</v>
      </c>
      <c r="F185" t="inlineStr">
        <is>
          <t>ÖREBRO LÄN</t>
        </is>
      </c>
      <c r="G185" t="inlineStr">
        <is>
          <t>LJUSNARSBERG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46239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46239</v>
      </c>
      <c r="F187" t="inlineStr">
        <is>
          <t>ÖREBRO LÄN</t>
        </is>
      </c>
      <c r="G187" t="inlineStr">
        <is>
          <t>LJUSNARSBERG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46239</v>
      </c>
      <c r="F189" t="inlineStr">
        <is>
          <t>ÖREBRO LÄN</t>
        </is>
      </c>
      <c r="G189" t="inlineStr">
        <is>
          <t>LJUSNARSBERG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46239</v>
      </c>
      <c r="F190" t="inlineStr">
        <is>
          <t>ÖREBRO LÄN</t>
        </is>
      </c>
      <c r="G190" t="inlineStr">
        <is>
          <t>LJUSNARSBERG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46239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46239</v>
      </c>
      <c r="F192" t="inlineStr">
        <is>
          <t>ÖREBRO LÄN</t>
        </is>
      </c>
      <c r="G192" t="inlineStr">
        <is>
          <t>LJUSNARSBERG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44694</v>
      </c>
      <c r="E193" s="1" t="n">
        <v>46239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45124</v>
      </c>
      <c r="E194" s="1" t="n">
        <v>46239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46146</v>
      </c>
      <c r="E195" s="1" t="n">
        <v>46239</v>
      </c>
      <c r="F195" t="inlineStr">
        <is>
          <t>ÖREBRO LÄN</t>
        </is>
      </c>
      <c r="G195" t="inlineStr">
        <is>
          <t>LJUSNARSBERG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46146</v>
      </c>
      <c r="E196" s="1" t="n">
        <v>46239</v>
      </c>
      <c r="F196" t="inlineStr">
        <is>
          <t>ÖREBRO LÄN</t>
        </is>
      </c>
      <c r="G196" t="inlineStr">
        <is>
          <t>LJUSNARSBERG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46239</v>
      </c>
      <c r="F197" t="inlineStr">
        <is>
          <t>ÖREBRO LÄN</t>
        </is>
      </c>
      <c r="G197" t="inlineStr">
        <is>
          <t>LJUSNARSBERG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44790</v>
      </c>
      <c r="E198" s="1" t="n">
        <v>46239</v>
      </c>
      <c r="F198" t="inlineStr">
        <is>
          <t>ÖREBRO LÄN</t>
        </is>
      </c>
      <c r="G198" t="inlineStr">
        <is>
          <t>LJUSNARSBERG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46239</v>
      </c>
      <c r="F199" t="inlineStr">
        <is>
          <t>ÖREBRO LÄN</t>
        </is>
      </c>
      <c r="G199" t="inlineStr">
        <is>
          <t>LJUSNARSBERG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46239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46239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46239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46239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46239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46239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46239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46239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46239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46239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46239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46239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46239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46239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1624-2026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46174</v>
      </c>
      <c r="E214" s="1" t="n">
        <v>46239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1743-2026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46185</v>
      </c>
      <c r="E215" s="1" t="n">
        <v>46239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2026-08-05T20:39:32Z</dcterms:created>
  <dcterms:modified xmlns:dcterms="http://purl.org/dc/terms/" xmlns:xsi="http://www.w3.org/2001/XMLSchema-instance" xsi:type="dcterms:W3CDTF">2026-08-05T20:39:33Z</dcterms:modified>
</cp:coreProperties>
</file>