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46260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46260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46260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46260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46260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46260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46260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46260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46260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46260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46260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46260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46260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46260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32309-2022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44781</v>
      </c>
      <c r="E16" s="1" t="n">
        <v>46260</v>
      </c>
      <c r="F16" t="inlineStr">
        <is>
          <t>ÖREBRO LÄN</t>
        </is>
      </c>
      <c r="G16" t="inlineStr">
        <is>
          <t>LJUSNARSBERG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11</v>
      </c>
      <c r="U16" t="n">
        <v>11</v>
      </c>
      <c r="V16" s="2" t="inlineStr">
        <is>
          <t>Tretåig hackspett
Tjäder</t>
        </is>
      </c>
      <c r="W16">
        <f>HYPERLINK("https://klasma.github.io/Logging_1864/artfynd/A 32309-2022 artfynd.xlsx", "A 32309-2022")</f>
        <v/>
      </c>
      <c r="X16">
        <f>HYPERLINK("https://klasma.github.io/Logging_1864/kartor/A 32309-2022 karta.png", "A 32309-2022")</f>
        <v/>
      </c>
      <c r="Y16">
        <f>HYPERLINK("https://klasma.github.io/Logging_1864/kartor_geotiff/A 32309-2022 georefererad karta.tif", "A 32309-2022")</f>
        <v/>
      </c>
      <c r="AA16">
        <f>HYPERLINK("https://klasma.github.io/Logging_1864/klagomål/A 32309-2022 FSC-klagomål.docx", "A 32309-2022")</f>
        <v/>
      </c>
      <c r="AB16">
        <f>HYPERLINK("https://klasma.github.io/Logging_1864/klagomålsmail/A 32309-2022 FSC-klagomål mail.docx", "A 32309-2022")</f>
        <v/>
      </c>
      <c r="AC16">
        <f>HYPERLINK("https://klasma.github.io/Logging_1864/tillsyn/A 32309-2022 tillsynsbegäran.docx", "A 32309-2022")</f>
        <v/>
      </c>
      <c r="AD16">
        <f>HYPERLINK("https://klasma.github.io/Logging_1864/tillsynsmail/A 32309-2022 tillsynsbegäran mail.docx", "A 32309-2022")</f>
        <v/>
      </c>
      <c r="AE16">
        <f>HYPERLINK("https://klasma.github.io/Logging_1864/fåglar/A 32309-2022 prioriterade fågelarter.docx", "A 32309-2022")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46260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46260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46260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46260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33193-2024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45518</v>
      </c>
      <c r="E21" s="1" t="n">
        <v>46260</v>
      </c>
      <c r="F21" t="inlineStr">
        <is>
          <t>ÖREBRO LÄN</t>
        </is>
      </c>
      <c r="G21" t="inlineStr">
        <is>
          <t>LJUSNARSBERG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Dropptaggsvamp
Tjäder</t>
        </is>
      </c>
      <c r="W21">
        <f>HYPERLINK("https://klasma.github.io/Logging_1864/artfynd/A 33193-2024 artfynd.xlsx", "A 33193-2024")</f>
        <v/>
      </c>
      <c r="X21">
        <f>HYPERLINK("https://klasma.github.io/Logging_1864/kartor/A 33193-2024 karta.png", "A 33193-2024")</f>
        <v/>
      </c>
      <c r="Y21">
        <f>HYPERLINK("https://klasma.github.io/Logging_1864/kartor_geotiff/A 33193-2024 georefererad karta.tif", "A 33193-2024")</f>
        <v/>
      </c>
      <c r="AA21">
        <f>HYPERLINK("https://klasma.github.io/Logging_1864/klagomål/A 33193-2024 FSC-klagomål.docx", "A 33193-2024")</f>
        <v/>
      </c>
      <c r="AB21">
        <f>HYPERLINK("https://klasma.github.io/Logging_1864/klagomålsmail/A 33193-2024 FSC-klagomål mail.docx", "A 33193-2024")</f>
        <v/>
      </c>
      <c r="AC21">
        <f>HYPERLINK("https://klasma.github.io/Logging_1864/tillsyn/A 33193-2024 tillsynsbegäran.docx", "A 33193-2024")</f>
        <v/>
      </c>
      <c r="AD21">
        <f>HYPERLINK("https://klasma.github.io/Logging_1864/tillsynsmail/A 33193-2024 tillsynsbegäran mail.docx", "A 33193-2024")</f>
        <v/>
      </c>
      <c r="AE21">
        <f>HYPERLINK("https://klasma.github.io/Logging_1864/fåglar/A 33193-2024 prioriterade fågelarter.docx", "A 33193-2024")</f>
        <v/>
      </c>
    </row>
    <row r="22" ht="15" customHeight="1">
      <c r="A22" t="inlineStr">
        <is>
          <t>A 45536-2024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46260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5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Tvåblad
Fläcknycklar</t>
        </is>
      </c>
      <c r="W22">
        <f>HYPERLINK("https://klasma.github.io/Logging_1864/artfynd/A 45536-2024 artfynd.xlsx", "A 45536-2024")</f>
        <v/>
      </c>
      <c r="X22">
        <f>HYPERLINK("https://klasma.github.io/Logging_1864/kartor/A 45536-2024 karta.png", "A 45536-2024")</f>
        <v/>
      </c>
      <c r="Y22">
        <f>HYPERLINK("https://klasma.github.io/Logging_1864/kartor_geotiff/A 45536-2024 georefererad karta.tif", "A 45536-2024")</f>
        <v/>
      </c>
      <c r="AA22">
        <f>HYPERLINK("https://klasma.github.io/Logging_1864/klagomål/A 45536-2024 FSC-klagomål.docx", "A 45536-2024")</f>
        <v/>
      </c>
      <c r="AB22">
        <f>HYPERLINK("https://klasma.github.io/Logging_1864/klagomålsmail/A 45536-2024 FSC-klagomål mail.docx", "A 45536-2024")</f>
        <v/>
      </c>
      <c r="AC22">
        <f>HYPERLINK("https://klasma.github.io/Logging_1864/tillsyn/A 45536-2024 tillsynsbegäran.docx", "A 45536-2024")</f>
        <v/>
      </c>
      <c r="AD22">
        <f>HYPERLINK("https://klasma.github.io/Logging_1864/tillsynsmail/A 45536-2024 tillsynsbegäran mail.docx", "A 45536-2024")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46260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24791-2024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45460</v>
      </c>
      <c r="E24" s="1" t="n">
        <v>46260</v>
      </c>
      <c r="F24" t="inlineStr">
        <is>
          <t>ÖREBRO LÄN</t>
        </is>
      </c>
      <c r="G24" t="inlineStr">
        <is>
          <t>LJUSNARSBERG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Spillkråka</t>
        </is>
      </c>
      <c r="W24">
        <f>HYPERLINK("https://klasma.github.io/Logging_1864/artfynd/A 24791-2024 artfynd.xlsx", "A 24791-2024")</f>
        <v/>
      </c>
      <c r="X24">
        <f>HYPERLINK("https://klasma.github.io/Logging_1864/kartor/A 24791-2024 karta.png", "A 24791-2024")</f>
        <v/>
      </c>
      <c r="Y24">
        <f>HYPERLINK("https://klasma.github.io/Logging_1864/kartor_geotiff/A 24791-2024 georefererad karta.tif", "A 24791-2024")</f>
        <v/>
      </c>
      <c r="AA24">
        <f>HYPERLINK("https://klasma.github.io/Logging_1864/klagomål/A 24791-2024 FSC-klagomål.docx", "A 24791-2024")</f>
        <v/>
      </c>
      <c r="AB24">
        <f>HYPERLINK("https://klasma.github.io/Logging_1864/klagomålsmail/A 24791-2024 FSC-klagomål mail.docx", "A 24791-2024")</f>
        <v/>
      </c>
      <c r="AC24">
        <f>HYPERLINK("https://klasma.github.io/Logging_1864/tillsyn/A 24791-2024 tillsynsbegäran.docx", "A 24791-2024")</f>
        <v/>
      </c>
      <c r="AD24">
        <f>HYPERLINK("https://klasma.github.io/Logging_1864/tillsynsmail/A 24791-2024 tillsynsbegäran mail.docx", "A 24791-2024")</f>
        <v/>
      </c>
      <c r="AE24">
        <f>HYPERLINK("https://klasma.github.io/Logging_1864/fåglar/A 24791-2024 prioriterade fågelarter.docx", "A 24791-2024")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46260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19940-2026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46260</v>
      </c>
      <c r="F26" t="inlineStr">
        <is>
          <t>ÖREBRO LÄN</t>
        </is>
      </c>
      <c r="G26" t="inlineStr">
        <is>
          <t>LJUSNARSBERG</t>
        </is>
      </c>
      <c r="H26" t="inlineStr">
        <is>
          <t>Sveaskog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HYPERLINK("https://klasma.github.io/Logging_1864/artfynd/A 19940-2026 artfynd.xlsx", "A 19940-2026")</f>
        <v/>
      </c>
      <c r="X26">
        <f>HYPERLINK("https://klasma.github.io/Logging_1864/kartor/A 19940-2026 karta.png", "A 19940-2026")</f>
        <v/>
      </c>
      <c r="Y26">
        <f>HYPERLINK("https://klasma.github.io/Logging_1864/kartor_geotiff/A 19940-2026 georefererad karta.tif", "A 19940-2026")</f>
        <v/>
      </c>
      <c r="AA26">
        <f>HYPERLINK("https://klasma.github.io/Logging_1864/klagomål/A 19940-2026 FSC-klagomål.docx", "A 19940-2026")</f>
        <v/>
      </c>
      <c r="AB26">
        <f>HYPERLINK("https://klasma.github.io/Logging_1864/klagomålsmail/A 19940-2026 FSC-klagomål mail.docx", "A 19940-2026")</f>
        <v/>
      </c>
      <c r="AC26">
        <f>HYPERLINK("https://klasma.github.io/Logging_1864/tillsyn/A 19940-2026 tillsynsbegäran.docx", "A 19940-2026")</f>
        <v/>
      </c>
      <c r="AD26">
        <f>HYPERLINK("https://klasma.github.io/Logging_1864/tillsynsmail/A 19940-2026 tillsynsbegäran mail.docx", "A 19940-2026")</f>
        <v/>
      </c>
    </row>
    <row r="27" ht="15" customHeight="1">
      <c r="A27" t="inlineStr">
        <is>
          <t>A 18857-2026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46127</v>
      </c>
      <c r="E27" s="1" t="n">
        <v>46260</v>
      </c>
      <c r="F27" t="inlineStr">
        <is>
          <t>ÖREBRO LÄN</t>
        </is>
      </c>
      <c r="G27" t="inlineStr">
        <is>
          <t>LJUSNARSBERG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Trana</t>
        </is>
      </c>
      <c r="W27">
        <f>HYPERLINK("https://klasma.github.io/Logging_1864/artfynd/A 18857-2026 artfynd.xlsx", "A 18857-2026")</f>
        <v/>
      </c>
      <c r="X27">
        <f>HYPERLINK("https://klasma.github.io/Logging_1864/kartor/A 18857-2026 karta.png", "A 18857-2026")</f>
        <v/>
      </c>
      <c r="Y27">
        <f>HYPERLINK("https://klasma.github.io/Logging_1864/kartor_geotiff/A 18857-2026 georefererad karta.tif", "A 18857-2026")</f>
        <v/>
      </c>
      <c r="AA27">
        <f>HYPERLINK("https://klasma.github.io/Logging_1864/klagomål/A 18857-2026 FSC-klagomål.docx", "A 18857-2026")</f>
        <v/>
      </c>
      <c r="AB27">
        <f>HYPERLINK("https://klasma.github.io/Logging_1864/klagomålsmail/A 18857-2026 FSC-klagomål mail.docx", "A 18857-2026")</f>
        <v/>
      </c>
      <c r="AC27">
        <f>HYPERLINK("https://klasma.github.io/Logging_1864/tillsyn/A 18857-2026 tillsynsbegäran.docx", "A 18857-2026")</f>
        <v/>
      </c>
      <c r="AD27">
        <f>HYPERLINK("https://klasma.github.io/Logging_1864/tillsynsmail/A 18857-2026 tillsynsbegäran mail.docx", "A 18857-2026")</f>
        <v/>
      </c>
      <c r="AE27">
        <f>HYPERLINK("https://klasma.github.io/Logging_1864/fåglar/A 18857-2026 prioriterade fågelarter.docx", "A 18857-2026")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46260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HYPERLINK("https://klasma.github.io/Logging_1864/artfynd/A 45537-2024 artfynd.xlsx", "A 45537-2024")</f>
        <v/>
      </c>
      <c r="X28">
        <f>HYPERLINK("https://klasma.github.io/Logging_1864/kartor/A 45537-2024 karta.png", "A 45537-2024")</f>
        <v/>
      </c>
      <c r="Y28">
        <f>HYPERLINK("https://klasma.github.io/Logging_1864/kartor_geotiff/A 45537-2024 georefererad karta.tif", "A 45537-2024")</f>
        <v/>
      </c>
      <c r="AA28">
        <f>HYPERLINK("https://klasma.github.io/Logging_1864/klagomål/A 45537-2024 FSC-klagomål.docx", "A 45537-2024")</f>
        <v/>
      </c>
      <c r="AB28">
        <f>HYPERLINK("https://klasma.github.io/Logging_1864/klagomålsmail/A 45537-2024 FSC-klagomål mail.docx", "A 45537-2024")</f>
        <v/>
      </c>
      <c r="AC28">
        <f>HYPERLINK("https://klasma.github.io/Logging_1864/tillsyn/A 45537-2024 tillsynsbegäran.docx", "A 45537-2024")</f>
        <v/>
      </c>
      <c r="AD28">
        <f>HYPERLINK("https://klasma.github.io/Logging_1864/tillsynsmail/A 45537-2024 tillsynsbegäran mail.docx", "A 45537-2024")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46260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A 20797-2022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46260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HYPERLINK("https://klasma.github.io/Logging_1864/artfynd/A 20797-2022 artfynd.xlsx", "A 20797-2022")</f>
        <v/>
      </c>
      <c r="X30">
        <f>HYPERLINK("https://klasma.github.io/Logging_1864/kartor/A 20797-2022 karta.png", "A 20797-2022")</f>
        <v/>
      </c>
      <c r="Y30">
        <f>HYPERLINK("https://klasma.github.io/Logging_1864/kartor_geotiff/A 20797-2022 georefererad karta.tif", "A 20797-2022")</f>
        <v/>
      </c>
      <c r="AA30">
        <f>HYPERLINK("https://klasma.github.io/Logging_1864/klagomål/A 20797-2022 FSC-klagomål.docx", "A 20797-2022")</f>
        <v/>
      </c>
      <c r="AB30">
        <f>HYPERLINK("https://klasma.github.io/Logging_1864/klagomålsmail/A 20797-2022 FSC-klagomål mail.docx", "A 20797-2022")</f>
        <v/>
      </c>
      <c r="AC30">
        <f>HYPERLINK("https://klasma.github.io/Logging_1864/tillsyn/A 20797-2022 tillsynsbegäran.docx", "A 20797-2022")</f>
        <v/>
      </c>
      <c r="AD30">
        <f>HYPERLINK("https://klasma.github.io/Logging_1864/tillsynsmail/A 20797-2022 tillsynsbegäran mail.docx", "A 20797-2022")</f>
        <v/>
      </c>
    </row>
    <row r="31" ht="15" customHeight="1">
      <c r="A31" t="inlineStr">
        <is>
          <t>A 39095-2022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46260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Mattlummer</t>
        </is>
      </c>
      <c r="W31">
        <f>HYPERLINK("https://klasma.github.io/Logging_1864/artfynd/A 39095-2022 artfynd.xlsx", "A 39095-2022")</f>
        <v/>
      </c>
      <c r="X31">
        <f>HYPERLINK("https://klasma.github.io/Logging_1864/kartor/A 39095-2022 karta.png", "A 39095-2022")</f>
        <v/>
      </c>
      <c r="Y31">
        <f>HYPERLINK("https://klasma.github.io/Logging_1864/kartor_geotiff/A 39095-2022 georefererad karta.tif", "A 39095-2022")</f>
        <v/>
      </c>
      <c r="AA31">
        <f>HYPERLINK("https://klasma.github.io/Logging_1864/klagomål/A 39095-2022 FSC-klagomål.docx", "A 39095-2022")</f>
        <v/>
      </c>
      <c r="AB31">
        <f>HYPERLINK("https://klasma.github.io/Logging_1864/klagomålsmail/A 39095-2022 FSC-klagomål mail.docx", "A 39095-2022")</f>
        <v/>
      </c>
      <c r="AC31">
        <f>HYPERLINK("https://klasma.github.io/Logging_1864/tillsyn/A 39095-2022 tillsynsbegäran.docx", "A 39095-2022")</f>
        <v/>
      </c>
      <c r="AD31">
        <f>HYPERLINK("https://klasma.github.io/Logging_1864/tillsynsmail/A 39095-2022 tillsynsbegäran mail.docx", "A 39095-2022")</f>
        <v/>
      </c>
    </row>
    <row r="32" ht="15" customHeight="1">
      <c r="A32" t="inlineStr">
        <is>
          <t>S 3758-2024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45555</v>
      </c>
      <c r="E32" s="1" t="n">
        <v>46260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Bårdlav</t>
        </is>
      </c>
      <c r="W32">
        <f>HYPERLINK("https://klasma.github.io/Logging_1864/artfynd/S 3758-2024 artfynd.xlsx", "S 3758-2024")</f>
        <v/>
      </c>
      <c r="X32">
        <f>HYPERLINK("https://klasma.github.io/Logging_1864/kartor/S 3758-2024 karta.png", "S 3758-2024")</f>
        <v/>
      </c>
      <c r="Y32">
        <f>HYPERLINK("https://klasma.github.io/Logging_1864/kartor_geotiff/S 3758-2024 georefererad karta.tif", "S 3758-2024")</f>
        <v/>
      </c>
      <c r="AA32">
        <f>HYPERLINK("https://klasma.github.io/Logging_1864/klagomål/S 3758-2024 FSC-klagomål.docx", "S 3758-2024")</f>
        <v/>
      </c>
      <c r="AB32">
        <f>HYPERLINK("https://klasma.github.io/Logging_1864/klagomålsmail/S 3758-2024 FSC-klagomål mail.docx", "S 3758-2024")</f>
        <v/>
      </c>
      <c r="AC32">
        <f>HYPERLINK("https://klasma.github.io/Logging_1864/tillsyn/S 3758-2024 tillsynsbegäran.docx", "S 3758-2024")</f>
        <v/>
      </c>
      <c r="AD32">
        <f>HYPERLINK("https://klasma.github.io/Logging_1864/tillsynsmail/S 3758-2024 tillsynsbegäran mail.docx", "S 3758-2024")</f>
        <v/>
      </c>
    </row>
    <row r="33" ht="15" customHeight="1">
      <c r="A33" t="inlineStr">
        <is>
          <t>A 64400-2021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46260</v>
      </c>
      <c r="F33" t="inlineStr">
        <is>
          <t>ÖREBRO LÄN</t>
        </is>
      </c>
      <c r="G33" t="inlineStr">
        <is>
          <t>LJUSNARSBERG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44858-2021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44438</v>
      </c>
      <c r="E34" s="1" t="n">
        <v>46260</v>
      </c>
      <c r="F34" t="inlineStr">
        <is>
          <t>ÖREBRO LÄN</t>
        </is>
      </c>
      <c r="G34" t="inlineStr">
        <is>
          <t>LJUSNARSBERG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46260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46260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64978-2021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44513</v>
      </c>
      <c r="E37" s="1" t="n">
        <v>46260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46260</v>
      </c>
      <c r="F38" t="inlineStr">
        <is>
          <t>ÖREBRO LÄN</t>
        </is>
      </c>
      <c r="G38" t="inlineStr">
        <is>
          <t>LJUSNARSBERG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44293-2021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44435</v>
      </c>
      <c r="E39" s="1" t="n">
        <v>46260</v>
      </c>
      <c r="F39" t="inlineStr">
        <is>
          <t>ÖREBRO LÄN</t>
        </is>
      </c>
      <c r="G39" t="inlineStr">
        <is>
          <t>LJUSNARSBERG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44595</v>
      </c>
      <c r="E40" s="1" t="n">
        <v>46260</v>
      </c>
      <c r="F40" t="inlineStr">
        <is>
          <t>ÖREBRO LÄN</t>
        </is>
      </c>
      <c r="G40" t="inlineStr">
        <is>
          <t>LJUSNARSBERG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25773-2022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46260</v>
      </c>
      <c r="F41" t="inlineStr">
        <is>
          <t>ÖREBRO LÄN</t>
        </is>
      </c>
      <c r="G41" t="inlineStr">
        <is>
          <t>LJUSNARSBERG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46260</v>
      </c>
      <c r="F42" t="inlineStr">
        <is>
          <t>ÖREBRO LÄN</t>
        </is>
      </c>
      <c r="G42" t="inlineStr">
        <is>
          <t>LJUSNARSBERG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46260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46260</v>
      </c>
      <c r="F44" t="inlineStr">
        <is>
          <t>ÖREBRO LÄN</t>
        </is>
      </c>
      <c r="G44" t="inlineStr">
        <is>
          <t>LJUSNARSBERG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44282-2021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44435</v>
      </c>
      <c r="E45" s="1" t="n">
        <v>46260</v>
      </c>
      <c r="F45" t="inlineStr">
        <is>
          <t>ÖREBRO LÄN</t>
        </is>
      </c>
      <c r="G45" t="inlineStr">
        <is>
          <t>LJUSNARSBERG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33858-2022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44790</v>
      </c>
      <c r="E46" s="1" t="n">
        <v>46260</v>
      </c>
      <c r="F46" t="inlineStr">
        <is>
          <t>ÖREBRO LÄN</t>
        </is>
      </c>
      <c r="G46" t="inlineStr">
        <is>
          <t>LJUSNARSBERG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31998-2022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44778</v>
      </c>
      <c r="E47" s="1" t="n">
        <v>46260</v>
      </c>
      <c r="F47" t="inlineStr">
        <is>
          <t>ÖREBRO LÄN</t>
        </is>
      </c>
      <c r="G47" t="inlineStr">
        <is>
          <t>LJUSNARSBERG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46260</v>
      </c>
      <c r="F48" t="inlineStr">
        <is>
          <t>ÖREBRO LÄN</t>
        </is>
      </c>
      <c r="G48" t="inlineStr">
        <is>
          <t>LJUSNARSBERG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61794-2024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45649</v>
      </c>
      <c r="E49" s="1" t="n">
        <v>46260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25574-2023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45089</v>
      </c>
      <c r="E50" s="1" t="n">
        <v>46260</v>
      </c>
      <c r="F50" t="inlineStr">
        <is>
          <t>ÖREBRO LÄN</t>
        </is>
      </c>
      <c r="G50" t="inlineStr">
        <is>
          <t>LJUSNARSBERG</t>
        </is>
      </c>
      <c r="H50" t="inlineStr">
        <is>
          <t>Sveaskog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46260</v>
      </c>
      <c r="F51" t="inlineStr">
        <is>
          <t>ÖREBRO LÄN</t>
        </is>
      </c>
      <c r="G51" t="inlineStr">
        <is>
          <t>LJUSNARSBERG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46263-2021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44442</v>
      </c>
      <c r="E52" s="1" t="n">
        <v>46260</v>
      </c>
      <c r="F52" t="inlineStr">
        <is>
          <t>ÖREBRO LÄN</t>
        </is>
      </c>
      <c r="G52" t="inlineStr">
        <is>
          <t>LJUSNARSBERG</t>
        </is>
      </c>
      <c r="I52" t="n">
        <v>8.699999999999999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61580-2023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45265</v>
      </c>
      <c r="E53" s="1" t="n">
        <v>46260</v>
      </c>
      <c r="F53" t="inlineStr">
        <is>
          <t>ÖREBRO LÄN</t>
        </is>
      </c>
      <c r="G53" t="inlineStr">
        <is>
          <t>LJUSNARSBERG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62810-2021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46260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5.7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45583</v>
      </c>
      <c r="E55" s="1" t="n">
        <v>46260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45419</v>
      </c>
      <c r="E56" s="1" t="n">
        <v>46260</v>
      </c>
      <c r="F56" t="inlineStr">
        <is>
          <t>ÖREBRO LÄN</t>
        </is>
      </c>
      <c r="G56" t="inlineStr">
        <is>
          <t>LJUSNARSBERG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46260</v>
      </c>
      <c r="F57" t="inlineStr">
        <is>
          <t>ÖREBRO LÄN</t>
        </is>
      </c>
      <c r="G57" t="inlineStr">
        <is>
          <t>LJUSNARSBERG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62843-2021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46260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15114-2024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45399</v>
      </c>
      <c r="E59" s="1" t="n">
        <v>46260</v>
      </c>
      <c r="F59" t="inlineStr">
        <is>
          <t>ÖREBRO LÄN</t>
        </is>
      </c>
      <c r="G59" t="inlineStr">
        <is>
          <t>LJUSNARSBERG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44734</v>
      </c>
      <c r="E60" s="1" t="n">
        <v>46260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12489-2023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44999</v>
      </c>
      <c r="E61" s="1" t="n">
        <v>46260</v>
      </c>
      <c r="F61" t="inlineStr">
        <is>
          <t>ÖREBRO LÄN</t>
        </is>
      </c>
      <c r="G61" t="inlineStr">
        <is>
          <t>LJUSNARSBERG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17933-2024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46260</v>
      </c>
      <c r="F62" t="inlineStr">
        <is>
          <t>ÖREBRO LÄN</t>
        </is>
      </c>
      <c r="G62" t="inlineStr">
        <is>
          <t>LJUSNARSBERG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46260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46260</v>
      </c>
      <c r="F64" t="inlineStr">
        <is>
          <t>ÖREBRO LÄN</t>
        </is>
      </c>
      <c r="G64" t="inlineStr">
        <is>
          <t>LJUSNARSBERG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45638</v>
      </c>
      <c r="E65" s="1" t="n">
        <v>46260</v>
      </c>
      <c r="F65" t="inlineStr">
        <is>
          <t>ÖREBRO LÄN</t>
        </is>
      </c>
      <c r="G65" t="inlineStr">
        <is>
          <t>LJUSNARSBERG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44780-2024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45574</v>
      </c>
      <c r="E66" s="1" t="n">
        <v>46260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20673-2025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45776</v>
      </c>
      <c r="E67" s="1" t="n">
        <v>46260</v>
      </c>
      <c r="F67" t="inlineStr">
        <is>
          <t>ÖREBRO LÄN</t>
        </is>
      </c>
      <c r="G67" t="inlineStr">
        <is>
          <t>LJUSNARSBERG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46037</v>
      </c>
      <c r="E68" s="1" t="n">
        <v>46260</v>
      </c>
      <c r="F68" t="inlineStr">
        <is>
          <t>ÖREBRO LÄN</t>
        </is>
      </c>
      <c r="G68" t="inlineStr">
        <is>
          <t>LJUSNARSBERG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59630-2024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45638</v>
      </c>
      <c r="E69" s="1" t="n">
        <v>46260</v>
      </c>
      <c r="F69" t="inlineStr">
        <is>
          <t>ÖREBRO LÄN</t>
        </is>
      </c>
      <c r="G69" t="inlineStr">
        <is>
          <t>LJUSNARSBERG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45832</v>
      </c>
      <c r="E70" s="1" t="n">
        <v>46260</v>
      </c>
      <c r="F70" t="inlineStr">
        <is>
          <t>ÖREBRO LÄN</t>
        </is>
      </c>
      <c r="G70" t="inlineStr">
        <is>
          <t>LJUSNARSBERG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45463</v>
      </c>
      <c r="E71" s="1" t="n">
        <v>46260</v>
      </c>
      <c r="F71" t="inlineStr">
        <is>
          <t>ÖREBRO LÄN</t>
        </is>
      </c>
      <c r="G71" t="inlineStr">
        <is>
          <t>LJUSNARSBERG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46260</v>
      </c>
      <c r="F72" t="inlineStr">
        <is>
          <t>ÖREBRO LÄN</t>
        </is>
      </c>
      <c r="G72" t="inlineStr">
        <is>
          <t>LJUSNARSBERG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46049</v>
      </c>
      <c r="E73" s="1" t="n">
        <v>46260</v>
      </c>
      <c r="F73" t="inlineStr">
        <is>
          <t>ÖREBRO LÄN</t>
        </is>
      </c>
      <c r="G73" t="inlineStr">
        <is>
          <t>LJUSNARSBERG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22887-2024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45448</v>
      </c>
      <c r="E74" s="1" t="n">
        <v>46260</v>
      </c>
      <c r="F74" t="inlineStr">
        <is>
          <t>ÖREBRO LÄN</t>
        </is>
      </c>
      <c r="G74" t="inlineStr">
        <is>
          <t>LJUSNARSBERG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46260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45575</v>
      </c>
      <c r="E76" s="1" t="n">
        <v>46260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46260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46260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40852-2025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46260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8.699999999999999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46260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46260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46260</v>
      </c>
      <c r="F82" t="inlineStr">
        <is>
          <t>ÖREBRO LÄN</t>
        </is>
      </c>
      <c r="G82" t="inlineStr">
        <is>
          <t>LJUSNARSBERG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46260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46260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52366-2024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45608</v>
      </c>
      <c r="E85" s="1" t="n">
        <v>46260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41420-2025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46260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45903</v>
      </c>
      <c r="E87" s="1" t="n">
        <v>46260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29721-2023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45107</v>
      </c>
      <c r="E88" s="1" t="n">
        <v>46260</v>
      </c>
      <c r="F88" t="inlineStr">
        <is>
          <t>ÖREBRO LÄN</t>
        </is>
      </c>
      <c r="G88" t="inlineStr">
        <is>
          <t>LJUSNARSBERG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45909</v>
      </c>
      <c r="E89" s="1" t="n">
        <v>46260</v>
      </c>
      <c r="F89" t="inlineStr">
        <is>
          <t>ÖREBRO LÄN</t>
        </is>
      </c>
      <c r="G89" t="inlineStr">
        <is>
          <t>LJUSNARSBERG</t>
        </is>
      </c>
      <c r="I89" t="n">
        <v>17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46260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45145</v>
      </c>
      <c r="E91" s="1" t="n">
        <v>46260</v>
      </c>
      <c r="F91" t="inlineStr">
        <is>
          <t>ÖREBRO LÄN</t>
        </is>
      </c>
      <c r="G91" t="inlineStr">
        <is>
          <t>LJUSNARSBERG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44720</v>
      </c>
      <c r="E92" s="1" t="n">
        <v>46260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45086</v>
      </c>
      <c r="E93" s="1" t="n">
        <v>46260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45925</v>
      </c>
      <c r="E94" s="1" t="n">
        <v>46260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46260</v>
      </c>
      <c r="F95" t="inlineStr">
        <is>
          <t>ÖREBRO LÄN</t>
        </is>
      </c>
      <c r="G95" t="inlineStr">
        <is>
          <t>LJUSNARSBERG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29572-2025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46260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46260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46260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46260</v>
      </c>
      <c r="F99" t="inlineStr">
        <is>
          <t>ÖREBRO LÄN</t>
        </is>
      </c>
      <c r="G99" t="inlineStr">
        <is>
          <t>LJUSNARSBERG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45933</v>
      </c>
      <c r="E100" s="1" t="n">
        <v>46260</v>
      </c>
      <c r="F100" t="inlineStr">
        <is>
          <t>ÖREBRO LÄN</t>
        </is>
      </c>
      <c r="G100" t="inlineStr">
        <is>
          <t>LJUSNARSBERG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46260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45934</v>
      </c>
      <c r="E102" s="1" t="n">
        <v>46260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37066-2023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46260</v>
      </c>
      <c r="F103" t="inlineStr">
        <is>
          <t>ÖREBRO LÄN</t>
        </is>
      </c>
      <c r="G103" t="inlineStr">
        <is>
          <t>LJUSNARSBERG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46260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45936</v>
      </c>
      <c r="E105" s="1" t="n">
        <v>46260</v>
      </c>
      <c r="F105" t="inlineStr">
        <is>
          <t>ÖREBRO LÄN</t>
        </is>
      </c>
      <c r="G105" t="inlineStr">
        <is>
          <t>LJUSNARSBERG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45934</v>
      </c>
      <c r="E106" s="1" t="n">
        <v>46260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46260</v>
      </c>
      <c r="F107" t="inlineStr">
        <is>
          <t>ÖREBRO LÄN</t>
        </is>
      </c>
      <c r="G107" t="inlineStr">
        <is>
          <t>LJUSNARSBERG</t>
        </is>
      </c>
      <c r="H107" t="inlineStr">
        <is>
          <t>Sveaskog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46260</v>
      </c>
      <c r="F108" t="inlineStr">
        <is>
          <t>ÖREBRO LÄN</t>
        </is>
      </c>
      <c r="G108" t="inlineStr">
        <is>
          <t>LJUSNARSBERG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45934</v>
      </c>
      <c r="E109" s="1" t="n">
        <v>46260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45035</v>
      </c>
      <c r="E110" s="1" t="n">
        <v>46260</v>
      </c>
      <c r="F110" t="inlineStr">
        <is>
          <t>ÖREBRO LÄN</t>
        </is>
      </c>
      <c r="G110" t="inlineStr">
        <is>
          <t>LJUSNARSBERG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46260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46260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46260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50865-2025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45946</v>
      </c>
      <c r="E114" s="1" t="n">
        <v>46260</v>
      </c>
      <c r="F114" t="inlineStr">
        <is>
          <t>ÖREBRO LÄN</t>
        </is>
      </c>
      <c r="G114" t="inlineStr">
        <is>
          <t>LJUSNARSBERG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45951</v>
      </c>
      <c r="E115" s="1" t="n">
        <v>46260</v>
      </c>
      <c r="F115" t="inlineStr">
        <is>
          <t>ÖREBRO LÄN</t>
        </is>
      </c>
      <c r="G115" t="inlineStr">
        <is>
          <t>LJUSNARSBERG</t>
        </is>
      </c>
      <c r="I115" t="n">
        <v>10.8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46133</v>
      </c>
      <c r="E116" s="1" t="n">
        <v>46260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46260</v>
      </c>
      <c r="F117" t="inlineStr">
        <is>
          <t>ÖREBRO LÄN</t>
        </is>
      </c>
      <c r="G117" t="inlineStr">
        <is>
          <t>LJUSNARSBERG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46260</v>
      </c>
      <c r="F118" t="inlineStr">
        <is>
          <t>ÖREBRO LÄN</t>
        </is>
      </c>
      <c r="G118" t="inlineStr">
        <is>
          <t>LJUSNARSBERG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19937-2026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46136</v>
      </c>
      <c r="E119" s="1" t="n">
        <v>46260</v>
      </c>
      <c r="F119" t="inlineStr">
        <is>
          <t>ÖREBRO LÄN</t>
        </is>
      </c>
      <c r="G119" t="inlineStr">
        <is>
          <t>LJUSNARSBERG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46260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46260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8.5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46260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36108-2024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45533</v>
      </c>
      <c r="E123" s="1" t="n">
        <v>46260</v>
      </c>
      <c r="F123" t="inlineStr">
        <is>
          <t>ÖREBRO LÄN</t>
        </is>
      </c>
      <c r="G123" t="inlineStr">
        <is>
          <t>LJUSNARSBERG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59497-2024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45638</v>
      </c>
      <c r="E124" s="1" t="n">
        <v>46260</v>
      </c>
      <c r="F124" t="inlineStr">
        <is>
          <t>ÖREBRO LÄN</t>
        </is>
      </c>
      <c r="G124" t="inlineStr">
        <is>
          <t>LJUSNARSBERG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33979-2023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45124</v>
      </c>
      <c r="E125" s="1" t="n">
        <v>46260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45581</v>
      </c>
      <c r="E126" s="1" t="n">
        <v>46260</v>
      </c>
      <c r="F126" t="inlineStr">
        <is>
          <t>ÖREBRO LÄN</t>
        </is>
      </c>
      <c r="G126" t="inlineStr">
        <is>
          <t>LJUSNARSBERG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19936-2026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46136</v>
      </c>
      <c r="E127" s="1" t="n">
        <v>46260</v>
      </c>
      <c r="F127" t="inlineStr">
        <is>
          <t>ÖREBRO LÄN</t>
        </is>
      </c>
      <c r="G127" t="inlineStr">
        <is>
          <t>LJUSNARSBERG</t>
        </is>
      </c>
      <c r="H127" t="inlineStr">
        <is>
          <t>Sveaskog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27343-2025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45812</v>
      </c>
      <c r="E128" s="1" t="n">
        <v>46260</v>
      </c>
      <c r="F128" t="inlineStr">
        <is>
          <t>ÖREBRO LÄN</t>
        </is>
      </c>
      <c r="G128" t="inlineStr">
        <is>
          <t>LJUSNARSBERG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46260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44739</v>
      </c>
      <c r="E130" s="1" t="n">
        <v>46260</v>
      </c>
      <c r="F130" t="inlineStr">
        <is>
          <t>ÖREBRO LÄN</t>
        </is>
      </c>
      <c r="G130" t="inlineStr">
        <is>
          <t>LJUSNARSBERG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59495-2024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45638</v>
      </c>
      <c r="E131" s="1" t="n">
        <v>46260</v>
      </c>
      <c r="F131" t="inlineStr">
        <is>
          <t>ÖREBRO LÄN</t>
        </is>
      </c>
      <c r="G131" t="inlineStr">
        <is>
          <t>LJUSNARSBERG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63411-2025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46013</v>
      </c>
      <c r="E132" s="1" t="n">
        <v>46260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44847</v>
      </c>
      <c r="E133" s="1" t="n">
        <v>46260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21202-2026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46146</v>
      </c>
      <c r="E134" s="1" t="n">
        <v>46260</v>
      </c>
      <c r="F134" t="inlineStr">
        <is>
          <t>ÖREBRO LÄN</t>
        </is>
      </c>
      <c r="G134" t="inlineStr">
        <is>
          <t>LJUSNARSBERG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44880</v>
      </c>
      <c r="E135" s="1" t="n">
        <v>46260</v>
      </c>
      <c r="F135" t="inlineStr">
        <is>
          <t>ÖREBRO LÄN</t>
        </is>
      </c>
      <c r="G135" t="inlineStr">
        <is>
          <t>LJUSNARSBERG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46146</v>
      </c>
      <c r="E136" s="1" t="n">
        <v>46260</v>
      </c>
      <c r="F136" t="inlineStr">
        <is>
          <t>ÖREBRO LÄN</t>
        </is>
      </c>
      <c r="G136" t="inlineStr">
        <is>
          <t>LJUSNARSBERG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46260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46260</v>
      </c>
      <c r="F138" t="inlineStr">
        <is>
          <t>ÖREBRO LÄN</t>
        </is>
      </c>
      <c r="G138" t="inlineStr">
        <is>
          <t>LJUSNARSBERG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33622-2025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46260</v>
      </c>
      <c r="F139" t="inlineStr">
        <is>
          <t>ÖREBRO LÄN</t>
        </is>
      </c>
      <c r="G139" t="inlineStr">
        <is>
          <t>LJUSNARSBERG</t>
        </is>
      </c>
      <c r="H139" t="inlineStr">
        <is>
          <t>Kyrkan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47017-2025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46260</v>
      </c>
      <c r="F140" t="inlineStr">
        <is>
          <t>ÖREBRO LÄN</t>
        </is>
      </c>
      <c r="G140" t="inlineStr">
        <is>
          <t>LJUSNARSBERG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22366-2026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46260</v>
      </c>
      <c r="F141" t="inlineStr">
        <is>
          <t>ÖREBRO LÄN</t>
        </is>
      </c>
      <c r="G141" t="inlineStr">
        <is>
          <t>LJUSNARSBERG</t>
        </is>
      </c>
      <c r="I141" t="n">
        <v>14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32880-2025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45839</v>
      </c>
      <c r="E142" s="1" t="n">
        <v>46260</v>
      </c>
      <c r="F142" t="inlineStr">
        <is>
          <t>ÖREBRO LÄN</t>
        </is>
      </c>
      <c r="G142" t="inlineStr">
        <is>
          <t>LJUSNARSBERG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53595-2024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45614</v>
      </c>
      <c r="E143" s="1" t="n">
        <v>46260</v>
      </c>
      <c r="F143" t="inlineStr">
        <is>
          <t>ÖREBRO LÄN</t>
        </is>
      </c>
      <c r="G143" t="inlineStr">
        <is>
          <t>LJUSNARSBERG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45106</v>
      </c>
      <c r="E144" s="1" t="n">
        <v>46260</v>
      </c>
      <c r="F144" t="inlineStr">
        <is>
          <t>ÖREBRO LÄN</t>
        </is>
      </c>
      <c r="G144" t="inlineStr">
        <is>
          <t>LJUSNARSBERG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46260</v>
      </c>
      <c r="F145" t="inlineStr">
        <is>
          <t>ÖREBRO LÄN</t>
        </is>
      </c>
      <c r="G145" t="inlineStr">
        <is>
          <t>LJUSNARSBERG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44564</v>
      </c>
      <c r="E146" s="1" t="n">
        <v>46260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46163</v>
      </c>
      <c r="E147" s="1" t="n">
        <v>46260</v>
      </c>
      <c r="F147" t="inlineStr">
        <is>
          <t>ÖREBRO LÄN</t>
        </is>
      </c>
      <c r="G147" t="inlineStr">
        <is>
          <t>LJUSNARSBERG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46167</v>
      </c>
      <c r="E148" s="1" t="n">
        <v>46260</v>
      </c>
      <c r="F148" t="inlineStr">
        <is>
          <t>ÖREBRO LÄN</t>
        </is>
      </c>
      <c r="G148" t="inlineStr">
        <is>
          <t>LJUSNARSBERG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46260</v>
      </c>
      <c r="F149" t="inlineStr">
        <is>
          <t>ÖREBRO LÄN</t>
        </is>
      </c>
      <c r="G149" t="inlineStr">
        <is>
          <t>LJUSNARSBERG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24343-2026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46167</v>
      </c>
      <c r="E150" s="1" t="n">
        <v>46260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46167</v>
      </c>
      <c r="E151" s="1" t="n">
        <v>46260</v>
      </c>
      <c r="F151" t="inlineStr">
        <is>
          <t>ÖREBRO LÄN</t>
        </is>
      </c>
      <c r="G151" t="inlineStr">
        <is>
          <t>LJUSNARSBERG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33861-2022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44790</v>
      </c>
      <c r="E152" s="1" t="n">
        <v>46260</v>
      </c>
      <c r="F152" t="inlineStr">
        <is>
          <t>ÖREBRO LÄN</t>
        </is>
      </c>
      <c r="G152" t="inlineStr">
        <is>
          <t>LJUSNARSBERG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45217</v>
      </c>
      <c r="E153" s="1" t="n">
        <v>46260</v>
      </c>
      <c r="F153" t="inlineStr">
        <is>
          <t>ÖREBRO LÄN</t>
        </is>
      </c>
      <c r="G153" t="inlineStr">
        <is>
          <t>LJUSNARSBERG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45659</v>
      </c>
      <c r="E154" s="1" t="n">
        <v>46260</v>
      </c>
      <c r="F154" t="inlineStr">
        <is>
          <t>ÖREBRO LÄN</t>
        </is>
      </c>
      <c r="G154" t="inlineStr">
        <is>
          <t>LJUSNARSBERG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44760-2024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45574</v>
      </c>
      <c r="E155" s="1" t="n">
        <v>46260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45638</v>
      </c>
      <c r="E156" s="1" t="n">
        <v>46260</v>
      </c>
      <c r="F156" t="inlineStr">
        <is>
          <t>ÖREBRO LÄN</t>
        </is>
      </c>
      <c r="G156" t="inlineStr">
        <is>
          <t>LJUSNARSBERG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44917</v>
      </c>
      <c r="E157" s="1" t="n">
        <v>46260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12482-2023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44999</v>
      </c>
      <c r="E158" s="1" t="n">
        <v>46260</v>
      </c>
      <c r="F158" t="inlineStr">
        <is>
          <t>ÖREBRO LÄN</t>
        </is>
      </c>
      <c r="G158" t="inlineStr">
        <is>
          <t>LJUSNARSBERG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45390</v>
      </c>
      <c r="E159" s="1" t="n">
        <v>46260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46260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26847-2026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46185</v>
      </c>
      <c r="E161" s="1" t="n">
        <v>46260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14.5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14500-2024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45394</v>
      </c>
      <c r="E162" s="1" t="n">
        <v>46260</v>
      </c>
      <c r="F162" t="inlineStr">
        <is>
          <t>ÖREBRO LÄN</t>
        </is>
      </c>
      <c r="G162" t="inlineStr">
        <is>
          <t>LJUSNARSBERG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45239</v>
      </c>
      <c r="E163" s="1" t="n">
        <v>46260</v>
      </c>
      <c r="F163" t="inlineStr">
        <is>
          <t>ÖREBRO LÄN</t>
        </is>
      </c>
      <c r="G163" t="inlineStr">
        <is>
          <t>LJUSNARSBERG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18938-2022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44690</v>
      </c>
      <c r="E164" s="1" t="n">
        <v>46260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44903</v>
      </c>
      <c r="E165" s="1" t="n">
        <v>46260</v>
      </c>
      <c r="F165" t="inlineStr">
        <is>
          <t>ÖREBRO LÄN</t>
        </is>
      </c>
      <c r="G165" t="inlineStr">
        <is>
          <t>LJUSNARSBERG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45578</v>
      </c>
      <c r="E166" s="1" t="n">
        <v>46260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45578</v>
      </c>
      <c r="E167" s="1" t="n">
        <v>46260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52489-2022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46260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45124</v>
      </c>
      <c r="E169" s="1" t="n">
        <v>46260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46246</v>
      </c>
      <c r="E170" s="1" t="n">
        <v>46260</v>
      </c>
      <c r="F170" t="inlineStr">
        <is>
          <t>ÖREBRO LÄN</t>
        </is>
      </c>
      <c r="G170" t="inlineStr">
        <is>
          <t>LJUSNARSBERG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33488-2026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46247</v>
      </c>
      <c r="E171" s="1" t="n">
        <v>46260</v>
      </c>
      <c r="F171" t="inlineStr">
        <is>
          <t>ÖREBRO LÄN</t>
        </is>
      </c>
      <c r="G171" t="inlineStr">
        <is>
          <t>LJUSNARSBERG</t>
        </is>
      </c>
      <c r="H171" t="inlineStr">
        <is>
          <t>Kyrkan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33753-2026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46251</v>
      </c>
      <c r="E172" s="1" t="n">
        <v>46260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44690</v>
      </c>
      <c r="E173" s="1" t="n">
        <v>46260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44788-2021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44438</v>
      </c>
      <c r="E174" s="1" t="n">
        <v>46260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46260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44916</v>
      </c>
      <c r="E176" s="1" t="n">
        <v>46260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45347</v>
      </c>
      <c r="E177" s="1" t="n">
        <v>46260</v>
      </c>
      <c r="F177" t="inlineStr">
        <is>
          <t>ÖREBRO LÄN</t>
        </is>
      </c>
      <c r="G177" t="inlineStr">
        <is>
          <t>LJUSNARSBERG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45030</v>
      </c>
      <c r="E178" s="1" t="n">
        <v>46260</v>
      </c>
      <c r="F178" t="inlineStr">
        <is>
          <t>ÖREBRO LÄN</t>
        </is>
      </c>
      <c r="G178" t="inlineStr">
        <is>
          <t>LJUSNARSBERG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57090-2022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46260</v>
      </c>
      <c r="F179" t="inlineStr">
        <is>
          <t>ÖREBRO LÄN</t>
        </is>
      </c>
      <c r="G179" t="inlineStr">
        <is>
          <t>LJUSNARSBERG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44720</v>
      </c>
      <c r="E180" s="1" t="n">
        <v>46260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11.2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44939</v>
      </c>
      <c r="E181" s="1" t="n">
        <v>46260</v>
      </c>
      <c r="F181" t="inlineStr">
        <is>
          <t>ÖREBRO LÄN</t>
        </is>
      </c>
      <c r="G181" t="inlineStr">
        <is>
          <t>LJUSNARSBERG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53395-2021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44468</v>
      </c>
      <c r="E182" s="1" t="n">
        <v>46260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7903-2022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44607</v>
      </c>
      <c r="E183" s="1" t="n">
        <v>46260</v>
      </c>
      <c r="F183" t="inlineStr">
        <is>
          <t>ÖREBRO LÄN</t>
        </is>
      </c>
      <c r="G183" t="inlineStr">
        <is>
          <t>LJUSNARSBERG</t>
        </is>
      </c>
      <c r="H183" t="inlineStr">
        <is>
          <t>Kyrkan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45177</v>
      </c>
      <c r="E184" s="1" t="n">
        <v>46260</v>
      </c>
      <c r="F184" t="inlineStr">
        <is>
          <t>ÖREBRO LÄN</t>
        </is>
      </c>
      <c r="G184" t="inlineStr">
        <is>
          <t>LJUSNARSBERG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46260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46260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46260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44694</v>
      </c>
      <c r="E188" s="1" t="n">
        <v>46260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45583</v>
      </c>
      <c r="E189" s="1" t="n">
        <v>46260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46260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45478</v>
      </c>
      <c r="E191" s="1" t="n">
        <v>46260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48780-2024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45593</v>
      </c>
      <c r="E192" s="1" t="n">
        <v>46260</v>
      </c>
      <c r="F192" t="inlineStr">
        <is>
          <t>ÖREBRO LÄN</t>
        </is>
      </c>
      <c r="G192" t="inlineStr">
        <is>
          <t>LJUSNARSBERG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46260</v>
      </c>
      <c r="F193" t="inlineStr">
        <is>
          <t>ÖREBRO LÄN</t>
        </is>
      </c>
      <c r="G193" t="inlineStr">
        <is>
          <t>LJUSNARSBERG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45387</v>
      </c>
      <c r="E194" s="1" t="n">
        <v>46260</v>
      </c>
      <c r="F194" t="inlineStr">
        <is>
          <t>ÖREBRO LÄN</t>
        </is>
      </c>
      <c r="G194" t="inlineStr">
        <is>
          <t>LJUSNARSBERG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46260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45142</v>
      </c>
      <c r="E196" s="1" t="n">
        <v>46260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44956</v>
      </c>
      <c r="E197" s="1" t="n">
        <v>46260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45106</v>
      </c>
      <c r="E198" s="1" t="n">
        <v>46260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46260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880-2024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45376</v>
      </c>
      <c r="E200" s="1" t="n">
        <v>46260</v>
      </c>
      <c r="F200" t="inlineStr">
        <is>
          <t>ÖREBRO LÄN</t>
        </is>
      </c>
      <c r="G200" t="inlineStr">
        <is>
          <t>LJUSNARSBERG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46260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46260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3528-2023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45205</v>
      </c>
      <c r="E203" s="1" t="n">
        <v>46260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7278-2021</t>
        </is>
      </c>
      <c r="B204" t="inlineStr">
        <is>
          <t>samrådsanmälan</t>
        </is>
      </c>
      <c r="C204" t="inlineStr">
        <is>
          <t>Åtgärd i nyckelbiotop</t>
        </is>
      </c>
      <c r="D204" s="1" t="n">
        <v>44467</v>
      </c>
      <c r="E204" s="1" t="n">
        <v>46260</v>
      </c>
      <c r="F204" t="inlineStr">
        <is>
          <t>ÖREBRO LÄN</t>
        </is>
      </c>
      <c r="G204" t="inlineStr">
        <is>
          <t>LJUSNARSBERG</t>
        </is>
      </c>
      <c r="H204" t="inlineStr">
        <is>
          <t>Kommuner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410-2022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44585</v>
      </c>
      <c r="E205" s="1" t="n">
        <v>46260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46260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1099-2022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44615</v>
      </c>
      <c r="E207" s="1" t="n">
        <v>46260</v>
      </c>
      <c r="F207" t="inlineStr">
        <is>
          <t>ÖREBRO LÄN</t>
        </is>
      </c>
      <c r="G207" t="inlineStr">
        <is>
          <t>LJUSNARSBERG</t>
        </is>
      </c>
      <c r="H207" t="inlineStr">
        <is>
          <t>Sveaskog</t>
        </is>
      </c>
      <c r="I207" t="n">
        <v>147.4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7277-2021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46260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2836-2023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45167</v>
      </c>
      <c r="E209" s="1" t="n">
        <v>46260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707-2025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45720</v>
      </c>
      <c r="E210" s="1" t="n">
        <v>46260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1972-2025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45832</v>
      </c>
      <c r="E211" s="1" t="n">
        <v>46260</v>
      </c>
      <c r="F211" t="inlineStr">
        <is>
          <t>ÖREBRO LÄN</t>
        </is>
      </c>
      <c r="G211" t="inlineStr">
        <is>
          <t>LJUSNARSBERG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3578-2025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46010</v>
      </c>
      <c r="E212" s="1" t="n">
        <v>46260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603-2026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46085</v>
      </c>
      <c r="E213" s="1" t="n">
        <v>46260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125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1743-2026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46185</v>
      </c>
      <c r="E214" s="1" t="n">
        <v>46260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1624-2026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46174</v>
      </c>
      <c r="E215" s="1" t="n">
        <v>46260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2026-08-26T01:51:36Z</dcterms:created>
  <dcterms:modified xmlns:dcterms="http://purl.org/dc/terms/" xmlns:xsi="http://www.w3.org/2001/XMLSchema-instance" xsi:type="dcterms:W3CDTF">2026-08-26T01:51:37Z</dcterms:modified>
</cp:coreProperties>
</file>