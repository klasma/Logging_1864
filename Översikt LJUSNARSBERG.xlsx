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45641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45641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45641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45641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45641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45641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45641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45641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45641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45641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45641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45641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41078-2022</t>
        </is>
      </c>
      <c r="B14" s="1" t="n">
        <v>44825</v>
      </c>
      <c r="C14" s="1" t="n">
        <v>45641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24.1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Tajgafältmätare
Grönpyrola</t>
        </is>
      </c>
      <c r="S14">
        <f>HYPERLINK("https://klasma.github.io/Logging_1864/artfynd/A 41078-2022 artfynd.xlsx", "A 41078-2022")</f>
        <v/>
      </c>
      <c r="T14">
        <f>HYPERLINK("https://klasma.github.io/Logging_1864/kartor/A 41078-2022 karta.png", "A 41078-2022")</f>
        <v/>
      </c>
      <c r="V14">
        <f>HYPERLINK("https://klasma.github.io/Logging_1864/klagomål/A 41078-2022 FSC-klagomål.docx", "A 41078-2022")</f>
        <v/>
      </c>
      <c r="W14">
        <f>HYPERLINK("https://klasma.github.io/Logging_1864/klagomålsmail/A 41078-2022 FSC-klagomål mail.docx", "A 41078-2022")</f>
        <v/>
      </c>
      <c r="X14">
        <f>HYPERLINK("https://klasma.github.io/Logging_1864/tillsyn/A 41078-2022 tillsynsbegäran.docx", "A 41078-2022")</f>
        <v/>
      </c>
      <c r="Y14">
        <f>HYPERLINK("https://klasma.github.io/Logging_1864/tillsynsmail/A 41078-2022 tillsynsbegäran mail.docx", "A 41078-2022")</f>
        <v/>
      </c>
    </row>
    <row r="15" ht="15" customHeight="1">
      <c r="A15" t="inlineStr">
        <is>
          <t>A 62105-2022</t>
        </is>
      </c>
      <c r="B15" s="1" t="n">
        <v>44920</v>
      </c>
      <c r="C15" s="1" t="n">
        <v>45641</v>
      </c>
      <c r="D15" t="inlineStr">
        <is>
          <t>ÖREBRO LÄN</t>
        </is>
      </c>
      <c r="E15" t="inlineStr">
        <is>
          <t>LJUSNARSBERG</t>
        </is>
      </c>
      <c r="G15" t="n">
        <v>5.7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HYPERLINK("https://klasma.github.io/Logging_1864/artfynd/A 62105-2022 artfynd.xlsx", "A 62105-2022")</f>
        <v/>
      </c>
      <c r="T15">
        <f>HYPERLINK("https://klasma.github.io/Logging_1864/kartor/A 62105-2022 karta.png", "A 62105-2022")</f>
        <v/>
      </c>
      <c r="V15">
        <f>HYPERLINK("https://klasma.github.io/Logging_1864/klagomål/A 62105-2022 FSC-klagomål.docx", "A 62105-2022")</f>
        <v/>
      </c>
      <c r="W15">
        <f>HYPERLINK("https://klasma.github.io/Logging_1864/klagomålsmail/A 62105-2022 FSC-klagomål mail.docx", "A 62105-2022")</f>
        <v/>
      </c>
      <c r="X15">
        <f>HYPERLINK("https://klasma.github.io/Logging_1864/tillsyn/A 62105-2022 tillsynsbegäran.docx", "A 62105-2022")</f>
        <v/>
      </c>
      <c r="Y15">
        <f>HYPERLINK("https://klasma.github.io/Logging_1864/tillsynsmail/A 62105-2022 tillsynsbegäran mail.docx", "A 62105-2022")</f>
        <v/>
      </c>
      <c r="Z15">
        <f>HYPERLINK("https://klasma.github.io/Logging_1864/fåglar/A 62105-2022 prioriterade fågelarter.docx", "A 62105-2022")</f>
        <v/>
      </c>
    </row>
    <row r="16" ht="15" customHeight="1">
      <c r="A16" t="inlineStr">
        <is>
          <t>A 30360-2023</t>
        </is>
      </c>
      <c r="B16" s="1" t="n">
        <v>45111</v>
      </c>
      <c r="C16" s="1" t="n">
        <v>45641</v>
      </c>
      <c r="D16" t="inlineStr">
        <is>
          <t>ÖREBRO LÄN</t>
        </is>
      </c>
      <c r="E16" t="inlineStr">
        <is>
          <t>LJUSNARSBERG</t>
        </is>
      </c>
      <c r="G16" t="n">
        <v>20.1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Vedticka</t>
        </is>
      </c>
      <c r="S16">
        <f>HYPERLINK("https://klasma.github.io/Logging_1864/artfynd/A 30360-2023 artfynd.xlsx", "A 30360-2023")</f>
        <v/>
      </c>
      <c r="T16">
        <f>HYPERLINK("https://klasma.github.io/Logging_1864/kartor/A 30360-2023 karta.png", "A 30360-2023")</f>
        <v/>
      </c>
      <c r="V16">
        <f>HYPERLINK("https://klasma.github.io/Logging_1864/klagomål/A 30360-2023 FSC-klagomål.docx", "A 30360-2023")</f>
        <v/>
      </c>
      <c r="W16">
        <f>HYPERLINK("https://klasma.github.io/Logging_1864/klagomålsmail/A 30360-2023 FSC-klagomål mail.docx", "A 30360-2023")</f>
        <v/>
      </c>
      <c r="X16">
        <f>HYPERLINK("https://klasma.github.io/Logging_1864/tillsyn/A 30360-2023 tillsynsbegäran.docx", "A 30360-2023")</f>
        <v/>
      </c>
      <c r="Y16">
        <f>HYPERLINK("https://klasma.github.io/Logging_1864/tillsynsmail/A 30360-2023 tillsynsbegäran mail.docx", "A 30360-2023")</f>
        <v/>
      </c>
    </row>
    <row r="17" ht="15" customHeight="1">
      <c r="A17" t="inlineStr">
        <is>
          <t>A 49157-2023</t>
        </is>
      </c>
      <c r="B17" s="1" t="n">
        <v>45210</v>
      </c>
      <c r="C17" s="1" t="n">
        <v>45641</v>
      </c>
      <c r="D17" t="inlineStr">
        <is>
          <t>ÖREBRO LÄN</t>
        </is>
      </c>
      <c r="E17" t="inlineStr">
        <is>
          <t>LJUSNARSBERG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Skogshakmossa</t>
        </is>
      </c>
      <c r="S17">
        <f>HYPERLINK("https://klasma.github.io/Logging_1864/artfynd/A 49157-2023 artfynd.xlsx", "A 49157-2023")</f>
        <v/>
      </c>
      <c r="T17">
        <f>HYPERLINK("https://klasma.github.io/Logging_1864/kartor/A 49157-2023 karta.png", "A 49157-2023")</f>
        <v/>
      </c>
      <c r="V17">
        <f>HYPERLINK("https://klasma.github.io/Logging_1864/klagomål/A 49157-2023 FSC-klagomål.docx", "A 49157-2023")</f>
        <v/>
      </c>
      <c r="W17">
        <f>HYPERLINK("https://klasma.github.io/Logging_1864/klagomålsmail/A 49157-2023 FSC-klagomål mail.docx", "A 49157-2023")</f>
        <v/>
      </c>
      <c r="X17">
        <f>HYPERLINK("https://klasma.github.io/Logging_1864/tillsyn/A 49157-2023 tillsynsbegäran.docx", "A 49157-2023")</f>
        <v/>
      </c>
      <c r="Y17">
        <f>HYPERLINK("https://klasma.github.io/Logging_1864/tillsynsmail/A 49157-2023 tillsynsbegäran mail.docx", "A 49157-2023")</f>
        <v/>
      </c>
    </row>
    <row r="18" ht="15" customHeight="1">
      <c r="A18" t="inlineStr">
        <is>
          <t>A 53729-2024</t>
        </is>
      </c>
      <c r="B18" s="1" t="n">
        <v>45614</v>
      </c>
      <c r="C18" s="1" t="n">
        <v>45641</v>
      </c>
      <c r="D18" t="inlineStr">
        <is>
          <t>ÖREBRO LÄN</t>
        </is>
      </c>
      <c r="E18" t="inlineStr">
        <is>
          <t>LJUSNARSBERG</t>
        </is>
      </c>
      <c r="G18" t="n">
        <v>14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Aspfjädermossa
Smal svampklubba</t>
        </is>
      </c>
      <c r="S18">
        <f>HYPERLINK("https://klasma.github.io/Logging_1864/artfynd/A 53729-2024 artfynd.xlsx", "A 53729-2024")</f>
        <v/>
      </c>
      <c r="T18">
        <f>HYPERLINK("https://klasma.github.io/Logging_1864/kartor/A 53729-2024 karta.png", "A 53729-2024")</f>
        <v/>
      </c>
      <c r="V18">
        <f>HYPERLINK("https://klasma.github.io/Logging_1864/klagomål/A 53729-2024 FSC-klagomål.docx", "A 53729-2024")</f>
        <v/>
      </c>
      <c r="W18">
        <f>HYPERLINK("https://klasma.github.io/Logging_1864/klagomålsmail/A 53729-2024 FSC-klagomål mail.docx", "A 53729-2024")</f>
        <v/>
      </c>
      <c r="X18">
        <f>HYPERLINK("https://klasma.github.io/Logging_1864/tillsyn/A 53729-2024 tillsynsbegäran.docx", "A 53729-2024")</f>
        <v/>
      </c>
      <c r="Y18">
        <f>HYPERLINK("https://klasma.github.io/Logging_1864/tillsynsmail/A 53729-2024 tillsynsbegäran mail.docx", "A 53729-2024")</f>
        <v/>
      </c>
    </row>
    <row r="19" ht="15" customHeight="1">
      <c r="A19" t="inlineStr">
        <is>
          <t>A 12383-2020</t>
        </is>
      </c>
      <c r="B19" s="1" t="n">
        <v>43896</v>
      </c>
      <c r="C19" s="1" t="n">
        <v>45641</v>
      </c>
      <c r="D19" t="inlineStr">
        <is>
          <t>ÖREBRO LÄN</t>
        </is>
      </c>
      <c r="E19" t="inlineStr">
        <is>
          <t>LJUSNARSBERG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HYPERLINK("https://klasma.github.io/Logging_1864/artfynd/A 12383-2020 artfynd.xlsx", "A 12383-2020")</f>
        <v/>
      </c>
      <c r="T19">
        <f>HYPERLINK("https://klasma.github.io/Logging_1864/kartor/A 12383-2020 karta.png", "A 12383-2020")</f>
        <v/>
      </c>
      <c r="V19">
        <f>HYPERLINK("https://klasma.github.io/Logging_1864/klagomål/A 12383-2020 FSC-klagomål.docx", "A 12383-2020")</f>
        <v/>
      </c>
      <c r="W19">
        <f>HYPERLINK("https://klasma.github.io/Logging_1864/klagomålsmail/A 12383-2020 FSC-klagomål mail.docx", "A 12383-2020")</f>
        <v/>
      </c>
      <c r="X19">
        <f>HYPERLINK("https://klasma.github.io/Logging_1864/tillsyn/A 12383-2020 tillsynsbegäran.docx", "A 12383-2020")</f>
        <v/>
      </c>
      <c r="Y19">
        <f>HYPERLINK("https://klasma.github.io/Logging_1864/tillsynsmail/A 12383-2020 tillsynsbegäran mail.docx", "A 12383-2020")</f>
        <v/>
      </c>
    </row>
    <row r="20" ht="15" customHeight="1">
      <c r="A20" t="inlineStr">
        <is>
          <t>A 47044-2020</t>
        </is>
      </c>
      <c r="B20" s="1" t="n">
        <v>44091</v>
      </c>
      <c r="C20" s="1" t="n">
        <v>45641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7.6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HYPERLINK("https://klasma.github.io/Logging_1864/artfynd/A 47044-2020 artfynd.xlsx", "A 47044-2020")</f>
        <v/>
      </c>
      <c r="T20">
        <f>HYPERLINK("https://klasma.github.io/Logging_1864/kartor/A 47044-2020 karta.png", "A 47044-2020")</f>
        <v/>
      </c>
      <c r="U20">
        <f>HYPERLINK("https://klasma.github.io/Logging_1864/knärot/A 47044-2020 karta knärot.png", "A 47044-2020")</f>
        <v/>
      </c>
      <c r="V20">
        <f>HYPERLINK("https://klasma.github.io/Logging_1864/klagomål/A 47044-2020 FSC-klagomål.docx", "A 47044-2020")</f>
        <v/>
      </c>
      <c r="W20">
        <f>HYPERLINK("https://klasma.github.io/Logging_1864/klagomålsmail/A 47044-2020 FSC-klagomål mail.docx", "A 47044-2020")</f>
        <v/>
      </c>
      <c r="X20">
        <f>HYPERLINK("https://klasma.github.io/Logging_1864/tillsyn/A 47044-2020 tillsynsbegäran.docx", "A 47044-2020")</f>
        <v/>
      </c>
      <c r="Y20">
        <f>HYPERLINK("https://klasma.github.io/Logging_1864/tillsynsmail/A 47044-2020 tillsynsbegäran mail.docx", "A 47044-2020")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45641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45641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45641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45641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45641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45641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45641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45641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45641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45641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45641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45641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45641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45641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45641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45641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45641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45641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45641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45641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45641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45641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45641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45641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45641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45641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45641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45641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45641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45641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45641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45641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45641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45641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45641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45641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45641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45641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45641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45641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45641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45641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45641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45641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45641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45641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45641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45641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45641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45641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45641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45641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45641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45641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45641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45641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45641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45641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45641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45641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45641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45641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45641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45641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45641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45641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45641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45641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45641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45641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45641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45641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45641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45641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45641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45641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45641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45641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45641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45641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45641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45641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45641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45641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45641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45641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45641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45641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45641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45641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45641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45641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45641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45641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45641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45641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45641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45641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45641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45641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45641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45641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45641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45641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45641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45641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45641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45641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45641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45641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45641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45641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45641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45641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45641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45641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45641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45641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45641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45641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45641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45641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45641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45641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45641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45641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45641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45641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45641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45641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45641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45641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45641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45641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45641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45641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45641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45641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45641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45641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45641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45641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45641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45641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45641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45641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45641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45641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45641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45641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45641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45641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45641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45641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45641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45641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45641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45641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45641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45641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45641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45641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45641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45641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45641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45641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45641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45641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45641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45641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45641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45641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45641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45641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45641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45641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45641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45641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45641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45641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45641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45641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45641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45641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45641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45641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45641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45641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45641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45641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45641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45641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45641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45641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45641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45641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45641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45641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45641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45641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45641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45641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45641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45641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45641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45641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45641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45641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45641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45641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45641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45641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45641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45641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45641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45641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45641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45641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45641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45641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45641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45641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45641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45641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45641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45641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45641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45641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45641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45641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45641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45641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45641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45641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45641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45641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45641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45641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45641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45641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45641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45641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45641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45641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45641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45641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45641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45641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45641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45641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45641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45641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45641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45641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45641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45641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45641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45641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45641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45641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45641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45641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45641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45641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45641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45641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45641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45641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45641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45641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45641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45641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45641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45641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45641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45641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45641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45641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45641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45641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45641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45641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45641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45641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45641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45641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45641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45641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45641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45641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45641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45641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45641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45641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45641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45641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45641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45641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45641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45641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45641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45641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45641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45641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45641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45641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45641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45641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45641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45641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45641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45641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45641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45641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45641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45641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45641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45641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45641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45641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45641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45641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45641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45641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45641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45641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45641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45641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45641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45641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45641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45641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45641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45641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45641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45641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45641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45641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45641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45641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45641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45641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45641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45641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45641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45641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45641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53594-2024</t>
        </is>
      </c>
      <c r="B368" s="1" t="n">
        <v>45614</v>
      </c>
      <c r="C368" s="1" t="n">
        <v>45641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45641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45641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53753-2024</t>
        </is>
      </c>
      <c r="B371" s="1" t="n">
        <v>45614</v>
      </c>
      <c r="C371" s="1" t="n">
        <v>45641</v>
      </c>
      <c r="D371" t="inlineStr">
        <is>
          <t>ÖREBRO LÄN</t>
        </is>
      </c>
      <c r="E371" t="inlineStr">
        <is>
          <t>LJUSNARSBERG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45641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53726-2024</t>
        </is>
      </c>
      <c r="B373" s="1" t="n">
        <v>45614</v>
      </c>
      <c r="C373" s="1" t="n">
        <v>45641</v>
      </c>
      <c r="D373" t="inlineStr">
        <is>
          <t>ÖREBRO LÄN</t>
        </is>
      </c>
      <c r="E373" t="inlineStr">
        <is>
          <t>LJUSNARSBERG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45641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45641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45641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58103-2024</t>
        </is>
      </c>
      <c r="B377" s="1" t="n">
        <v>45632</v>
      </c>
      <c r="C377" s="1" t="n">
        <v>45641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59627-2024</t>
        </is>
      </c>
      <c r="B378" s="1" t="n">
        <v>45638</v>
      </c>
      <c r="C378" s="1" t="n">
        <v>45641</v>
      </c>
      <c r="D378" t="inlineStr">
        <is>
          <t>ÖREBRO LÄN</t>
        </is>
      </c>
      <c r="E378" t="inlineStr">
        <is>
          <t>LJUSNARSBERG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59495-2024</t>
        </is>
      </c>
      <c r="B379" s="1" t="n">
        <v>45638</v>
      </c>
      <c r="C379" s="1" t="n">
        <v>45641</v>
      </c>
      <c r="D379" t="inlineStr">
        <is>
          <t>ÖREBRO LÄN</t>
        </is>
      </c>
      <c r="E379" t="inlineStr">
        <is>
          <t>LJUSNARSBERG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45641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45641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59629-2024</t>
        </is>
      </c>
      <c r="B382" s="1" t="n">
        <v>45638</v>
      </c>
      <c r="C382" s="1" t="n">
        <v>45641</v>
      </c>
      <c r="D382" t="inlineStr">
        <is>
          <t>ÖREBRO LÄN</t>
        </is>
      </c>
      <c r="E382" t="inlineStr">
        <is>
          <t>LJUSNARSBERG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2024-12-15T15:11:28Z</dcterms:created>
  <dcterms:modified xmlns:dcterms="http://purl.org/dc/terms/" xmlns:xsi="http://www.w3.org/2001/XMLSchema-instance" xsi:type="dcterms:W3CDTF">2024-12-15T15:11:28Z</dcterms:modified>
</cp:coreProperties>
</file>