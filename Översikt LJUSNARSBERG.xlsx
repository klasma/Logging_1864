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46234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46234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46234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46234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46234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46234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46234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46234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46234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43996-2021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46234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8.4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Fältgentiana
Tvåblad
Fläcknycklar
Nattviol</t>
        </is>
      </c>
      <c r="W11">
        <f>HYPERLINK("https://klasma.github.io/Logging_1864/artfynd/A 43996-2021 artfynd.xlsx", "A 43996-2021")</f>
        <v/>
      </c>
      <c r="X11">
        <f>HYPERLINK("https://klasma.github.io/Logging_1864/kartor/A 43996-2021 karta.png", "A 43996-2021")</f>
        <v/>
      </c>
      <c r="Y11">
        <f>HYPERLINK("https://klasma.github.io/Logging_1864/kartor_geotiff/A 43996-2021 georefererad karta.tif", "A 43996-2021")</f>
        <v/>
      </c>
      <c r="AA11">
        <f>HYPERLINK("https://klasma.github.io/Logging_1864/klagomål/A 43996-2021 FSC-klagomål.docx", "A 43996-2021")</f>
        <v/>
      </c>
      <c r="AB11">
        <f>HYPERLINK("https://klasma.github.io/Logging_1864/klagomålsmail/A 43996-2021 FSC-klagomål mail.docx", "A 43996-2021")</f>
        <v/>
      </c>
      <c r="AC11">
        <f>HYPERLINK("https://klasma.github.io/Logging_1864/tillsyn/A 43996-2021 tillsynsbegäran.docx", "A 43996-2021")</f>
        <v/>
      </c>
      <c r="AD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46234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46234</v>
      </c>
      <c r="F13" t="inlineStr">
        <is>
          <t>ÖREBRO LÄN</t>
        </is>
      </c>
      <c r="G13" t="inlineStr">
        <is>
          <t>LJUSNARSBERG</t>
        </is>
      </c>
      <c r="I13" t="n">
        <v>10.5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11</v>
      </c>
      <c r="U13" t="n">
        <v>11</v>
      </c>
      <c r="V13" s="2" t="inlineStr">
        <is>
          <t>Tretåig hackspett
Tjäder
Vanlig groda
Fläcknycklar</t>
        </is>
      </c>
      <c r="W13">
        <f>HYPERLINK("https://klasma.github.io/Logging_1864/artfynd/A 24307-2026 artfynd.xlsx", "A 24307-2026")</f>
        <v/>
      </c>
      <c r="X13">
        <f>HYPERLINK("https://klasma.github.io/Logging_1864/kartor/A 24307-2026 karta.png", "A 24307-2026")</f>
        <v/>
      </c>
      <c r="Y13">
        <f>HYPERLINK("https://klasma.github.io/Logging_1864/kartor_geotiff/A 24307-2026 georefererad karta.tif", "A 24307-2026")</f>
        <v/>
      </c>
      <c r="AA13">
        <f>HYPERLINK("https://klasma.github.io/Logging_1864/klagomål/A 24307-2026 FSC-klagomål.docx", "A 24307-2026")</f>
        <v/>
      </c>
      <c r="AB13">
        <f>HYPERLINK("https://klasma.github.io/Logging_1864/klagomålsmail/A 24307-2026 FSC-klagomål mail.docx", "A 24307-2026")</f>
        <v/>
      </c>
      <c r="AC13">
        <f>HYPERLINK("https://klasma.github.io/Logging_1864/tillsyn/A 24307-2026 tillsynsbegäran.docx", "A 24307-2026")</f>
        <v/>
      </c>
      <c r="AD13">
        <f>HYPERLINK("https://klasma.github.io/Logging_1864/tillsynsmail/A 24307-2026 tillsynsbegäran mail.docx", "A 24307-2026")</f>
        <v/>
      </c>
      <c r="AE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46234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46234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46234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46234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53729-2024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46234</v>
      </c>
      <c r="F18" t="inlineStr">
        <is>
          <t>ÖREBRO LÄN</t>
        </is>
      </c>
      <c r="G18" t="inlineStr">
        <is>
          <t>LJUSNARSBERG</t>
        </is>
      </c>
      <c r="I18" t="n">
        <v>14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Aspfjädermossa
Smal svampklubba</t>
        </is>
      </c>
      <c r="W18">
        <f>HYPERLINK("https://klasma.github.io/Logging_1864/artfynd/A 53729-2024 artfynd.xlsx", "A 53729-2024")</f>
        <v/>
      </c>
      <c r="X18">
        <f>HYPERLINK("https://klasma.github.io/Logging_1864/kartor/A 53729-2024 karta.png", "A 53729-2024")</f>
        <v/>
      </c>
      <c r="Y18">
        <f>HYPERLINK("https://klasma.github.io/Logging_1864/kartor_geotiff/A 53729-2024 georefererad karta.tif", "A 53729-2024")</f>
        <v/>
      </c>
      <c r="AA18">
        <f>HYPERLINK("https://klasma.github.io/Logging_1864/klagomål/A 53729-2024 FSC-klagomål.docx", "A 53729-2024")</f>
        <v/>
      </c>
      <c r="AB18">
        <f>HYPERLINK("https://klasma.github.io/Logging_1864/klagomålsmail/A 53729-2024 FSC-klagomål mail.docx", "A 53729-2024")</f>
        <v/>
      </c>
      <c r="AC18">
        <f>HYPERLINK("https://klasma.github.io/Logging_1864/tillsyn/A 53729-2024 tillsynsbegäran.docx", "A 53729-2024")</f>
        <v/>
      </c>
      <c r="AD18">
        <f>HYPERLINK("https://klasma.github.io/Logging_1864/tillsynsmail/A 53729-2024 tillsynsbegäran mail.docx", "A 53729-2024")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46234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46234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46234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46234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46234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46234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56179-2024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46234</v>
      </c>
      <c r="F25" t="inlineStr">
        <is>
          <t>ÖREBRO LÄN</t>
        </is>
      </c>
      <c r="G25" t="inlineStr">
        <is>
          <t>LJUSNARSBERG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Vedticka</t>
        </is>
      </c>
      <c r="W25">
        <f>HYPERLINK("https://klasma.github.io/Logging_1864/artfynd/A 56179-2024 artfynd.xlsx", "A 56179-2024")</f>
        <v/>
      </c>
      <c r="X25">
        <f>HYPERLINK("https://klasma.github.io/Logging_1864/kartor/A 56179-2024 karta.png", "A 56179-2024")</f>
        <v/>
      </c>
      <c r="Y25">
        <f>HYPERLINK("https://klasma.github.io/Logging_1864/kartor_geotiff/A 56179-2024 georefererad karta.tif", "A 56179-2024")</f>
        <v/>
      </c>
      <c r="AA25">
        <f>HYPERLINK("https://klasma.github.io/Logging_1864/klagomål/A 56179-2024 FSC-klagomål.docx", "A 56179-2024")</f>
        <v/>
      </c>
      <c r="AB25">
        <f>HYPERLINK("https://klasma.github.io/Logging_1864/klagomålsmail/A 56179-2024 FSC-klagomål mail.docx", "A 56179-2024")</f>
        <v/>
      </c>
      <c r="AC25">
        <f>HYPERLINK("https://klasma.github.io/Logging_1864/tillsyn/A 56179-2024 tillsynsbegäran.docx", "A 56179-2024")</f>
        <v/>
      </c>
      <c r="AD25">
        <f>HYPERLINK("https://klasma.github.io/Logging_1864/tillsynsmail/A 56179-2024 tillsynsbegäran mail.docx", "A 56179-2024")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46234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46234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46234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46234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A 24299-2026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46234</v>
      </c>
      <c r="F31" t="inlineStr">
        <is>
          <t>ÖREBRO LÄN</t>
        </is>
      </c>
      <c r="G31" t="inlineStr">
        <is>
          <t>LJUSNARSBERG</t>
        </is>
      </c>
      <c r="I31" t="n">
        <v>10.8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HYPERLINK("https://klasma.github.io/Logging_1864/artfynd/A 24299-2026 artfynd.xlsx", "A 24299-2026")</f>
        <v/>
      </c>
      <c r="X31">
        <f>HYPERLINK("https://klasma.github.io/Logging_1864/kartor/A 24299-2026 karta.png", "A 24299-2026")</f>
        <v/>
      </c>
      <c r="Y31">
        <f>HYPERLINK("https://klasma.github.io/Logging_1864/kartor_geotiff/A 24299-2026 georefererad karta.tif", "A 24299-2026")</f>
        <v/>
      </c>
      <c r="AA31">
        <f>HYPERLINK("https://klasma.github.io/Logging_1864/klagomål/A 24299-2026 FSC-klagomål.docx", "A 24299-2026")</f>
        <v/>
      </c>
      <c r="AB31">
        <f>HYPERLINK("https://klasma.github.io/Logging_1864/klagomålsmail/A 24299-2026 FSC-klagomål mail.docx", "A 24299-2026")</f>
        <v/>
      </c>
      <c r="AC31">
        <f>HYPERLINK("https://klasma.github.io/Logging_1864/tillsyn/A 24299-2026 tillsynsbegäran.docx", "A 24299-2026")</f>
        <v/>
      </c>
      <c r="AD31">
        <f>HYPERLINK("https://klasma.github.io/Logging_1864/tillsynsmail/A 24299-2026 tillsynsbegäran mail.docx", "A 24299-2026")</f>
        <v/>
      </c>
      <c r="AE31">
        <f>HYPERLINK("https://klasma.github.io/Logging_1864/fåglar/A 24299-2026 prioriterade fågelarter.docx", "A 24299-2026")</f>
        <v/>
      </c>
    </row>
    <row r="32" ht="15" customHeight="1">
      <c r="A32" t="inlineStr">
        <is>
          <t>A 39095-2022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46234</v>
      </c>
      <c r="F32" t="inlineStr">
        <is>
          <t>ÖREBRO LÄN</t>
        </is>
      </c>
      <c r="G32" t="inlineStr">
        <is>
          <t>LJUSNARSBERG</t>
        </is>
      </c>
      <c r="H32" t="inlineStr">
        <is>
          <t>Bergvik skog väst AB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Mattlummer</t>
        </is>
      </c>
      <c r="W32">
        <f>HYPERLINK("https://klasma.github.io/Logging_1864/artfynd/A 39095-2022 artfynd.xlsx", "A 39095-2022")</f>
        <v/>
      </c>
      <c r="X32">
        <f>HYPERLINK("https://klasma.github.io/Logging_1864/kartor/A 39095-2022 karta.png", "A 39095-2022")</f>
        <v/>
      </c>
      <c r="Y32">
        <f>HYPERLINK("https://klasma.github.io/Logging_1864/kartor_geotiff/A 39095-2022 georefererad karta.tif", "A 39095-2022")</f>
        <v/>
      </c>
      <c r="AA32">
        <f>HYPERLINK("https://klasma.github.io/Logging_1864/klagomål/A 39095-2022 FSC-klagomål.docx", "A 39095-2022")</f>
        <v/>
      </c>
      <c r="AB32">
        <f>HYPERLINK("https://klasma.github.io/Logging_1864/klagomålsmail/A 39095-2022 FSC-klagomål mail.docx", "A 39095-2022")</f>
        <v/>
      </c>
      <c r="AC32">
        <f>HYPERLINK("https://klasma.github.io/Logging_1864/tillsyn/A 39095-2022 tillsynsbegäran.docx", "A 39095-2022")</f>
        <v/>
      </c>
      <c r="AD32">
        <f>HYPERLINK("https://klasma.github.io/Logging_1864/tillsynsmail/A 39095-2022 tillsynsbegäran mail.docx", "A 39095-2022")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46234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46234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46234</v>
      </c>
      <c r="F35" t="inlineStr">
        <is>
          <t>ÖREBRO LÄN</t>
        </is>
      </c>
      <c r="G35" t="inlineStr">
        <is>
          <t>LJUSNARSBERG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44441</v>
      </c>
      <c r="E36" s="1" t="n">
        <v>46234</v>
      </c>
      <c r="F36" t="inlineStr">
        <is>
          <t>ÖREBRO LÄN</t>
        </is>
      </c>
      <c r="G36" t="inlineStr">
        <is>
          <t>LJUSNARSBERG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72157-2021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44544</v>
      </c>
      <c r="E37" s="1" t="n">
        <v>46234</v>
      </c>
      <c r="F37" t="inlineStr">
        <is>
          <t>ÖREBRO LÄN</t>
        </is>
      </c>
      <c r="G37" t="inlineStr">
        <is>
          <t>LJUSNARSBERG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46234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46234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44781</v>
      </c>
      <c r="E40" s="1" t="n">
        <v>46234</v>
      </c>
      <c r="F40" t="inlineStr">
        <is>
          <t>ÖREBRO LÄN</t>
        </is>
      </c>
      <c r="G40" t="inlineStr">
        <is>
          <t>LJUSNARSBERG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44293-2021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44435</v>
      </c>
      <c r="E41" s="1" t="n">
        <v>46234</v>
      </c>
      <c r="F41" t="inlineStr">
        <is>
          <t>ÖREBRO LÄN</t>
        </is>
      </c>
      <c r="G41" t="inlineStr">
        <is>
          <t>LJUSNARSBERG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39187-2021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44412</v>
      </c>
      <c r="E42" s="1" t="n">
        <v>46234</v>
      </c>
      <c r="F42" t="inlineStr">
        <is>
          <t>ÖREBRO LÄN</t>
        </is>
      </c>
      <c r="G42" t="inlineStr">
        <is>
          <t>LJUSNARSBERG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46234</v>
      </c>
      <c r="F43" t="inlineStr">
        <is>
          <t>ÖREBRO LÄN</t>
        </is>
      </c>
      <c r="G43" t="inlineStr">
        <is>
          <t>LJUSNARSBERG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46234</v>
      </c>
      <c r="F44" t="inlineStr">
        <is>
          <t>ÖREBRO LÄN</t>
        </is>
      </c>
      <c r="G44" t="inlineStr">
        <is>
          <t>LJUSNARSBERG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46234</v>
      </c>
      <c r="F45" t="inlineStr">
        <is>
          <t>ÖREBRO LÄN</t>
        </is>
      </c>
      <c r="G45" t="inlineStr">
        <is>
          <t>LJUSNARSBERG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44690</v>
      </c>
      <c r="E46" s="1" t="n">
        <v>46234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50552-2022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46234</v>
      </c>
      <c r="F47" t="inlineStr">
        <is>
          <t>ÖREBRO LÄN</t>
        </is>
      </c>
      <c r="G47" t="inlineStr">
        <is>
          <t>LJUSNARSBERG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44282-2021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46234</v>
      </c>
      <c r="F48" t="inlineStr">
        <is>
          <t>ÖREBRO LÄN</t>
        </is>
      </c>
      <c r="G48" t="inlineStr">
        <is>
          <t>LJUSNARSBERG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46234</v>
      </c>
      <c r="F49" t="inlineStr">
        <is>
          <t>ÖREBRO LÄN</t>
        </is>
      </c>
      <c r="G49" t="inlineStr">
        <is>
          <t>LJUSNARSBERG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44778</v>
      </c>
      <c r="E50" s="1" t="n">
        <v>46234</v>
      </c>
      <c r="F50" t="inlineStr">
        <is>
          <t>ÖREBRO LÄN</t>
        </is>
      </c>
      <c r="G50" t="inlineStr">
        <is>
          <t>LJUSNARSBERG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46234</v>
      </c>
      <c r="F51" t="inlineStr">
        <is>
          <t>ÖREBRO LÄN</t>
        </is>
      </c>
      <c r="G51" t="inlineStr">
        <is>
          <t>LJUSNARSBERG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46234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25574-2023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45089</v>
      </c>
      <c r="E53" s="1" t="n">
        <v>46234</v>
      </c>
      <c r="F53" t="inlineStr">
        <is>
          <t>ÖREBRO LÄN</t>
        </is>
      </c>
      <c r="G53" t="inlineStr">
        <is>
          <t>LJUSNARSBERG</t>
        </is>
      </c>
      <c r="H53" t="inlineStr">
        <is>
          <t>Sveaskog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46234</v>
      </c>
      <c r="F54" t="inlineStr">
        <is>
          <t>ÖREBRO LÄN</t>
        </is>
      </c>
      <c r="G54" t="inlineStr">
        <is>
          <t>LJUSNARSBERG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46234</v>
      </c>
      <c r="F55" t="inlineStr">
        <is>
          <t>ÖREBRO LÄN</t>
        </is>
      </c>
      <c r="G55" t="inlineStr">
        <is>
          <t>LJUSNARSBERG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46234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46234</v>
      </c>
      <c r="F57" t="inlineStr">
        <is>
          <t>ÖREBRO LÄN</t>
        </is>
      </c>
      <c r="G57" t="inlineStr">
        <is>
          <t>LJUSNARSBERG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46234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46234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46234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46234</v>
      </c>
      <c r="F61" t="inlineStr">
        <is>
          <t>ÖREBRO LÄN</t>
        </is>
      </c>
      <c r="G61" t="inlineStr">
        <is>
          <t>LJUSNARSBERG</t>
        </is>
      </c>
      <c r="H61" t="inlineStr">
        <is>
          <t>Sveaskog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46234</v>
      </c>
      <c r="F62" t="inlineStr">
        <is>
          <t>ÖREBRO LÄN</t>
        </is>
      </c>
      <c r="G62" t="inlineStr">
        <is>
          <t>LJUSNARSBERG</t>
        </is>
      </c>
      <c r="H62" t="inlineStr">
        <is>
          <t>Sveaskog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45934</v>
      </c>
      <c r="E63" s="1" t="n">
        <v>46234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45936</v>
      </c>
      <c r="E64" s="1" t="n">
        <v>46234</v>
      </c>
      <c r="F64" t="inlineStr">
        <is>
          <t>ÖREBRO LÄN</t>
        </is>
      </c>
      <c r="G64" t="inlineStr">
        <is>
          <t>LJUSNARSBERG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45936</v>
      </c>
      <c r="E65" s="1" t="n">
        <v>46234</v>
      </c>
      <c r="F65" t="inlineStr">
        <is>
          <t>ÖREBRO LÄN</t>
        </is>
      </c>
      <c r="G65" t="inlineStr">
        <is>
          <t>LJUSNARSBERG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45934</v>
      </c>
      <c r="E66" s="1" t="n">
        <v>46234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46234</v>
      </c>
      <c r="F67" t="inlineStr">
        <is>
          <t>ÖREBRO LÄN</t>
        </is>
      </c>
      <c r="G67" t="inlineStr">
        <is>
          <t>LJUSNARSBERG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28778-2024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46234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46234</v>
      </c>
      <c r="F69" t="inlineStr">
        <is>
          <t>ÖREBRO LÄN</t>
        </is>
      </c>
      <c r="G69" t="inlineStr">
        <is>
          <t>LJUSNARSBERG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62810-2021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44503</v>
      </c>
      <c r="E70" s="1" t="n">
        <v>46234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5.7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46234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46234</v>
      </c>
      <c r="F72" t="inlineStr">
        <is>
          <t>ÖREBRO LÄN</t>
        </is>
      </c>
      <c r="G72" t="inlineStr">
        <is>
          <t>LJUSNARSBERG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46234</v>
      </c>
      <c r="F73" t="inlineStr">
        <is>
          <t>ÖREBRO LÄN</t>
        </is>
      </c>
      <c r="G73" t="inlineStr">
        <is>
          <t>LJUSNARSBERG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62843-2021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46234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45399</v>
      </c>
      <c r="E75" s="1" t="n">
        <v>46234</v>
      </c>
      <c r="F75" t="inlineStr">
        <is>
          <t>ÖREBRO LÄN</t>
        </is>
      </c>
      <c r="G75" t="inlineStr">
        <is>
          <t>LJUSNARSBERG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46234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45593</v>
      </c>
      <c r="E77" s="1" t="n">
        <v>46234</v>
      </c>
      <c r="F77" t="inlineStr">
        <is>
          <t>ÖREBRO LÄN</t>
        </is>
      </c>
      <c r="G77" t="inlineStr">
        <is>
          <t>LJUSNARSBERG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46234</v>
      </c>
      <c r="F78" t="inlineStr">
        <is>
          <t>ÖREBRO LÄN</t>
        </is>
      </c>
      <c r="G78" t="inlineStr">
        <is>
          <t>LJUSNARSBERG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46234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45387</v>
      </c>
      <c r="E80" s="1" t="n">
        <v>46234</v>
      </c>
      <c r="F80" t="inlineStr">
        <is>
          <t>ÖREBRO LÄN</t>
        </is>
      </c>
      <c r="G80" t="inlineStr">
        <is>
          <t>LJUSNARSBERG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46234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30172-2023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46234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46234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45142</v>
      </c>
      <c r="E84" s="1" t="n">
        <v>46234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46234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46234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41017-2025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46234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45825</v>
      </c>
      <c r="E88" s="1" t="n">
        <v>46234</v>
      </c>
      <c r="F88" t="inlineStr">
        <is>
          <t>ÖREBRO LÄN</t>
        </is>
      </c>
      <c r="G88" t="inlineStr">
        <is>
          <t>LJUSNARSBERG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40964-2025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46234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46234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46234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31763-2023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46234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46234</v>
      </c>
      <c r="F93" t="inlineStr">
        <is>
          <t>ÖREBRO LÄN</t>
        </is>
      </c>
      <c r="G93" t="inlineStr">
        <is>
          <t>LJUSNARSBERG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46234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46234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46234</v>
      </c>
      <c r="F96" t="inlineStr">
        <is>
          <t>ÖREBRO LÄN</t>
        </is>
      </c>
      <c r="G96" t="inlineStr">
        <is>
          <t>LJUSNARSBERG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46234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46234</v>
      </c>
      <c r="F98" t="inlineStr">
        <is>
          <t>ÖREBRO LÄN</t>
        </is>
      </c>
      <c r="G98" t="inlineStr">
        <is>
          <t>LJUSNARSBERG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46234</v>
      </c>
      <c r="F99" t="inlineStr">
        <is>
          <t>ÖREBRO LÄN</t>
        </is>
      </c>
      <c r="G99" t="inlineStr">
        <is>
          <t>LJUSNARSBERG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45909</v>
      </c>
      <c r="E100" s="1" t="n">
        <v>46234</v>
      </c>
      <c r="F100" t="inlineStr">
        <is>
          <t>ÖREBRO LÄN</t>
        </is>
      </c>
      <c r="G100" t="inlineStr">
        <is>
          <t>LJUSNARSBERG</t>
        </is>
      </c>
      <c r="I100" t="n">
        <v>17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46234</v>
      </c>
      <c r="F101" t="inlineStr">
        <is>
          <t>ÖREBRO LÄN</t>
        </is>
      </c>
      <c r="G101" t="inlineStr">
        <is>
          <t>LJUSNARSBERG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45897</v>
      </c>
      <c r="E102" s="1" t="n">
        <v>46234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44479-2025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45916</v>
      </c>
      <c r="E103" s="1" t="n">
        <v>46234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45807</v>
      </c>
      <c r="E104" s="1" t="n">
        <v>46234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46234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20673-2025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45776</v>
      </c>
      <c r="E106" s="1" t="n">
        <v>46234</v>
      </c>
      <c r="F106" t="inlineStr">
        <is>
          <t>ÖREBRO LÄN</t>
        </is>
      </c>
      <c r="G106" t="inlineStr">
        <is>
          <t>LJUSNARSBERG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33974-2023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45124</v>
      </c>
      <c r="E107" s="1" t="n">
        <v>46234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46234</v>
      </c>
      <c r="F108" t="inlineStr">
        <is>
          <t>ÖREBRO LÄN</t>
        </is>
      </c>
      <c r="G108" t="inlineStr">
        <is>
          <t>LJUSNARSBERG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45574</v>
      </c>
      <c r="E109" s="1" t="n">
        <v>46234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46234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46234</v>
      </c>
      <c r="F111" t="inlineStr">
        <is>
          <t>ÖREBRO LÄN</t>
        </is>
      </c>
      <c r="G111" t="inlineStr">
        <is>
          <t>LJUSNARSBERG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46234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46234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46234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30430-2025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46234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45463</v>
      </c>
      <c r="E116" s="1" t="n">
        <v>46234</v>
      </c>
      <c r="F116" t="inlineStr">
        <is>
          <t>ÖREBRO LÄN</t>
        </is>
      </c>
      <c r="G116" t="inlineStr">
        <is>
          <t>LJUSNARSBERG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46234</v>
      </c>
      <c r="F117" t="inlineStr">
        <is>
          <t>ÖREBRO LÄN</t>
        </is>
      </c>
      <c r="G117" t="inlineStr">
        <is>
          <t>LJUSNARSBERG</t>
        </is>
      </c>
      <c r="H117" t="inlineStr">
        <is>
          <t>Kyrkan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46234</v>
      </c>
      <c r="F118" t="inlineStr">
        <is>
          <t>ÖREBRO LÄN</t>
        </is>
      </c>
      <c r="G118" t="inlineStr">
        <is>
          <t>LJUSNARSBERG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22887-2024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45448</v>
      </c>
      <c r="E119" s="1" t="n">
        <v>46234</v>
      </c>
      <c r="F119" t="inlineStr">
        <is>
          <t>ÖREBRO LÄN</t>
        </is>
      </c>
      <c r="G119" t="inlineStr">
        <is>
          <t>LJUSNARSBERG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46234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45659</v>
      </c>
      <c r="E121" s="1" t="n">
        <v>46234</v>
      </c>
      <c r="F121" t="inlineStr">
        <is>
          <t>ÖREBRO LÄN</t>
        </is>
      </c>
      <c r="G121" t="inlineStr">
        <is>
          <t>LJUSNARSBERG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45608</v>
      </c>
      <c r="E122" s="1" t="n">
        <v>46234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46234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46234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46234</v>
      </c>
      <c r="F125" t="inlineStr">
        <is>
          <t>ÖREBRO LÄN</t>
        </is>
      </c>
      <c r="G125" t="inlineStr">
        <is>
          <t>LJUSNARSBERG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44720</v>
      </c>
      <c r="E126" s="1" t="n">
        <v>46234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46234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44858</v>
      </c>
      <c r="E128" s="1" t="n">
        <v>46234</v>
      </c>
      <c r="F128" t="inlineStr">
        <is>
          <t>ÖREBRO LÄN</t>
        </is>
      </c>
      <c r="G128" t="inlineStr">
        <is>
          <t>LJUSNARSBERG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46234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46234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57129-2021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44482</v>
      </c>
      <c r="E131" s="1" t="n">
        <v>46234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17.8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46234</v>
      </c>
      <c r="F132" t="inlineStr">
        <is>
          <t>ÖREBRO LÄN</t>
        </is>
      </c>
      <c r="G132" t="inlineStr">
        <is>
          <t>LJUSNARSBERG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46234</v>
      </c>
      <c r="F133" t="inlineStr">
        <is>
          <t>ÖREBRO LÄN</t>
        </is>
      </c>
      <c r="G133" t="inlineStr">
        <is>
          <t>LJUSNARSBERG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46234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46234</v>
      </c>
      <c r="F135" t="inlineStr">
        <is>
          <t>ÖREBRO LÄN</t>
        </is>
      </c>
      <c r="G135" t="inlineStr">
        <is>
          <t>LJUSNARSBERG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46234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46234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59497-2024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45638</v>
      </c>
      <c r="E138" s="1" t="n">
        <v>46234</v>
      </c>
      <c r="F138" t="inlineStr">
        <is>
          <t>ÖREBRO LÄN</t>
        </is>
      </c>
      <c r="G138" t="inlineStr">
        <is>
          <t>LJUSNARSBERG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46234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46234</v>
      </c>
      <c r="F140" t="inlineStr">
        <is>
          <t>ÖREBRO LÄN</t>
        </is>
      </c>
      <c r="G140" t="inlineStr">
        <is>
          <t>LJUSNARSBERG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46234</v>
      </c>
      <c r="F141" t="inlineStr">
        <is>
          <t>ÖREBRO LÄN</t>
        </is>
      </c>
      <c r="G141" t="inlineStr">
        <is>
          <t>LJUSNARSBERG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26617-2022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44739</v>
      </c>
      <c r="E142" s="1" t="n">
        <v>46234</v>
      </c>
      <c r="F142" t="inlineStr">
        <is>
          <t>ÖREBRO LÄN</t>
        </is>
      </c>
      <c r="G142" t="inlineStr">
        <is>
          <t>LJUSNARSBERG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59495-2024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45638</v>
      </c>
      <c r="E143" s="1" t="n">
        <v>46234</v>
      </c>
      <c r="F143" t="inlineStr">
        <is>
          <t>ÖREBRO LÄN</t>
        </is>
      </c>
      <c r="G143" t="inlineStr">
        <is>
          <t>LJUSNARSBERG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46234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46234</v>
      </c>
      <c r="F145" t="inlineStr">
        <is>
          <t>ÖREBRO LÄN</t>
        </is>
      </c>
      <c r="G145" t="inlineStr">
        <is>
          <t>LJUSNARSBERG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46234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46234</v>
      </c>
      <c r="F147" t="inlineStr">
        <is>
          <t>ÖREBRO LÄN</t>
        </is>
      </c>
      <c r="G147" t="inlineStr">
        <is>
          <t>LJUSNARSBERG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45106</v>
      </c>
      <c r="E148" s="1" t="n">
        <v>46234</v>
      </c>
      <c r="F148" t="inlineStr">
        <is>
          <t>ÖREBRO LÄN</t>
        </is>
      </c>
      <c r="G148" t="inlineStr">
        <is>
          <t>LJUSNARSBERG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45581</v>
      </c>
      <c r="E149" s="1" t="n">
        <v>46234</v>
      </c>
      <c r="F149" t="inlineStr">
        <is>
          <t>ÖREBRO LÄN</t>
        </is>
      </c>
      <c r="G149" t="inlineStr">
        <is>
          <t>LJUSNARSBERG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46234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46234</v>
      </c>
      <c r="F151" t="inlineStr">
        <is>
          <t>ÖREBRO LÄN</t>
        </is>
      </c>
      <c r="G151" t="inlineStr">
        <is>
          <t>LJUSNARSBERG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46234</v>
      </c>
      <c r="F152" t="inlineStr">
        <is>
          <t>ÖREBRO LÄN</t>
        </is>
      </c>
      <c r="G152" t="inlineStr">
        <is>
          <t>LJUSNARSBERG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45574</v>
      </c>
      <c r="E153" s="1" t="n">
        <v>46234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44917</v>
      </c>
      <c r="E154" s="1" t="n">
        <v>46234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46234</v>
      </c>
      <c r="F155" t="inlineStr">
        <is>
          <t>ÖREBRO LÄN</t>
        </is>
      </c>
      <c r="G155" t="inlineStr">
        <is>
          <t>LJUSNARSBERG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46133</v>
      </c>
      <c r="E156" s="1" t="n">
        <v>46234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46234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45394</v>
      </c>
      <c r="E158" s="1" t="n">
        <v>46234</v>
      </c>
      <c r="F158" t="inlineStr">
        <is>
          <t>ÖREBRO LÄN</t>
        </is>
      </c>
      <c r="G158" t="inlineStr">
        <is>
          <t>LJUSNARSBERG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46234</v>
      </c>
      <c r="F159" t="inlineStr">
        <is>
          <t>ÖREBRO LÄN</t>
        </is>
      </c>
      <c r="G159" t="inlineStr">
        <is>
          <t>LJUSNARSBERG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46234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46234</v>
      </c>
      <c r="F161" t="inlineStr">
        <is>
          <t>ÖREBRO LÄN</t>
        </is>
      </c>
      <c r="G161" t="inlineStr">
        <is>
          <t>LJUSNARSBERG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36108-2024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45533</v>
      </c>
      <c r="E162" s="1" t="n">
        <v>46234</v>
      </c>
      <c r="F162" t="inlineStr">
        <is>
          <t>ÖREBRO LÄN</t>
        </is>
      </c>
      <c r="G162" t="inlineStr">
        <is>
          <t>LJUSNARSBERG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44690</v>
      </c>
      <c r="E163" s="1" t="n">
        <v>46234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46234</v>
      </c>
      <c r="F164" t="inlineStr">
        <is>
          <t>ÖREBRO LÄN</t>
        </is>
      </c>
      <c r="G164" t="inlineStr">
        <is>
          <t>LJUSNARSBERG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45578</v>
      </c>
      <c r="E165" s="1" t="n">
        <v>46234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45578</v>
      </c>
      <c r="E166" s="1" t="n">
        <v>46234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46234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46234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45581</v>
      </c>
      <c r="E169" s="1" t="n">
        <v>46234</v>
      </c>
      <c r="F169" t="inlineStr">
        <is>
          <t>ÖREBRO LÄN</t>
        </is>
      </c>
      <c r="G169" t="inlineStr">
        <is>
          <t>LJUSNARSBERG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46234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46234</v>
      </c>
      <c r="F171" t="inlineStr">
        <is>
          <t>ÖREBRO LÄN</t>
        </is>
      </c>
      <c r="G171" t="inlineStr">
        <is>
          <t>LJUSNARSBERG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46234</v>
      </c>
      <c r="F172" t="inlineStr">
        <is>
          <t>ÖREBRO LÄN</t>
        </is>
      </c>
      <c r="G172" t="inlineStr">
        <is>
          <t>LJUSNARSBERG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46146</v>
      </c>
      <c r="E173" s="1" t="n">
        <v>46234</v>
      </c>
      <c r="F173" t="inlineStr">
        <is>
          <t>ÖREBRO LÄN</t>
        </is>
      </c>
      <c r="G173" t="inlineStr">
        <is>
          <t>LJUSNARSBERG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46234</v>
      </c>
      <c r="F174" t="inlineStr">
        <is>
          <t>ÖREBRO LÄN</t>
        </is>
      </c>
      <c r="G174" t="inlineStr">
        <is>
          <t>LJUSNARSBERG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46234</v>
      </c>
      <c r="F175" t="inlineStr">
        <is>
          <t>ÖREBRO LÄN</t>
        </is>
      </c>
      <c r="G175" t="inlineStr">
        <is>
          <t>LJUSNARSBERG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44690</v>
      </c>
      <c r="E176" s="1" t="n">
        <v>46234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46234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46234</v>
      </c>
      <c r="F178" t="inlineStr">
        <is>
          <t>ÖREBRO LÄN</t>
        </is>
      </c>
      <c r="G178" t="inlineStr">
        <is>
          <t>LJUSNARSBERG</t>
        </is>
      </c>
      <c r="H178" t="inlineStr">
        <is>
          <t>Kommuner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45614</v>
      </c>
      <c r="E179" s="1" t="n">
        <v>46234</v>
      </c>
      <c r="F179" t="inlineStr">
        <is>
          <t>ÖREBRO LÄN</t>
        </is>
      </c>
      <c r="G179" t="inlineStr">
        <is>
          <t>LJUSNARSBERG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46234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44916</v>
      </c>
      <c r="E181" s="1" t="n">
        <v>46234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45347</v>
      </c>
      <c r="E182" s="1" t="n">
        <v>46234</v>
      </c>
      <c r="F182" t="inlineStr">
        <is>
          <t>ÖREBRO LÄN</t>
        </is>
      </c>
      <c r="G182" t="inlineStr">
        <is>
          <t>LJUSNARSBERG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46234</v>
      </c>
      <c r="F183" t="inlineStr">
        <is>
          <t>ÖREBRO LÄN</t>
        </is>
      </c>
      <c r="G183" t="inlineStr">
        <is>
          <t>LJUSNARSBERG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46234</v>
      </c>
      <c r="F184" t="inlineStr">
        <is>
          <t>ÖREBRO LÄN</t>
        </is>
      </c>
      <c r="G184" t="inlineStr">
        <is>
          <t>LJUSNARSBERG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44895</v>
      </c>
      <c r="E185" s="1" t="n">
        <v>46234</v>
      </c>
      <c r="F185" t="inlineStr">
        <is>
          <t>ÖREBRO LÄN</t>
        </is>
      </c>
      <c r="G185" t="inlineStr">
        <is>
          <t>LJUSNARSBERG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44720</v>
      </c>
      <c r="E186" s="1" t="n">
        <v>46234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46234</v>
      </c>
      <c r="F187" t="inlineStr">
        <is>
          <t>ÖREBRO LÄN</t>
        </is>
      </c>
      <c r="G187" t="inlineStr">
        <is>
          <t>LJUSNARSBERG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46234</v>
      </c>
      <c r="F188" t="inlineStr">
        <is>
          <t>ÖREBRO LÄN</t>
        </is>
      </c>
      <c r="G188" t="inlineStr">
        <is>
          <t>LJUSNARSBERG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46167</v>
      </c>
      <c r="E189" s="1" t="n">
        <v>46234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46234</v>
      </c>
      <c r="F190" t="inlineStr">
        <is>
          <t>ÖREBRO LÄN</t>
        </is>
      </c>
      <c r="G190" t="inlineStr">
        <is>
          <t>LJUSNARSBERG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46234</v>
      </c>
      <c r="F191" t="inlineStr">
        <is>
          <t>ÖREBRO LÄN</t>
        </is>
      </c>
      <c r="G191" t="inlineStr">
        <is>
          <t>LJUSNARSBERG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46234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7903-2022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44607</v>
      </c>
      <c r="E193" s="1" t="n">
        <v>46234</v>
      </c>
      <c r="F193" t="inlineStr">
        <is>
          <t>ÖREBRO LÄN</t>
        </is>
      </c>
      <c r="G193" t="inlineStr">
        <is>
          <t>LJUSNARSBERG</t>
        </is>
      </c>
      <c r="H193" t="inlineStr">
        <is>
          <t>Kyrkan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46234</v>
      </c>
      <c r="F194" t="inlineStr">
        <is>
          <t>ÖREBRO LÄN</t>
        </is>
      </c>
      <c r="G194" t="inlineStr">
        <is>
          <t>LJUSNARSBERG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46234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46234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46234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44694</v>
      </c>
      <c r="E198" s="1" t="n">
        <v>46234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46801-2024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46234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16.8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46234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46185</v>
      </c>
      <c r="E201" s="1" t="n">
        <v>46234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880-2024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45376</v>
      </c>
      <c r="E202" s="1" t="n">
        <v>46234</v>
      </c>
      <c r="F202" t="inlineStr">
        <is>
          <t>ÖREBRO LÄN</t>
        </is>
      </c>
      <c r="G202" t="inlineStr">
        <is>
          <t>LJUSNARSBERG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3541-2022</t>
        </is>
      </c>
      <c r="B203" t="inlineStr">
        <is>
          <t>samrådsanmälan</t>
        </is>
      </c>
      <c r="C203" t="inlineStr">
        <is>
          <t>Skogsbilväg</t>
        </is>
      </c>
      <c r="D203" s="1" t="n">
        <v>44734</v>
      </c>
      <c r="E203" s="1" t="n">
        <v>46234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10473-2021</t>
        </is>
      </c>
      <c r="B204" t="inlineStr">
        <is>
          <t>samrådsanmälan</t>
        </is>
      </c>
      <c r="C204" t="inlineStr">
        <is>
          <t>Skogsbilväg</t>
        </is>
      </c>
      <c r="D204" s="1" t="n">
        <v>44559</v>
      </c>
      <c r="E204" s="1" t="n">
        <v>46234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46234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7278-2021</t>
        </is>
      </c>
      <c r="B206" t="inlineStr">
        <is>
          <t>samrådsanmälan</t>
        </is>
      </c>
      <c r="C206" t="inlineStr">
        <is>
          <t>Åtgärd i nyckelbiotop</t>
        </is>
      </c>
      <c r="D206" s="1" t="n">
        <v>44467</v>
      </c>
      <c r="E206" s="1" t="n">
        <v>46234</v>
      </c>
      <c r="F206" t="inlineStr">
        <is>
          <t>ÖREBRO LÄN</t>
        </is>
      </c>
      <c r="G206" t="inlineStr">
        <is>
          <t>LJUSNARSBERG</t>
        </is>
      </c>
      <c r="H206" t="inlineStr">
        <is>
          <t>Kommuner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46234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4521-2023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45275</v>
      </c>
      <c r="E208" s="1" t="n">
        <v>46234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1099-2022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44615</v>
      </c>
      <c r="E209" s="1" t="n">
        <v>46234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147.4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7277-2021</t>
        </is>
      </c>
      <c r="B210" t="inlineStr">
        <is>
          <t>samrådsanmälan</t>
        </is>
      </c>
      <c r="C210" t="inlineStr">
        <is>
          <t>Åtgärd i nyckelbiotop</t>
        </is>
      </c>
      <c r="D210" s="1" t="n">
        <v>44467</v>
      </c>
      <c r="E210" s="1" t="n">
        <v>46234</v>
      </c>
      <c r="F210" t="inlineStr">
        <is>
          <t>ÖREBRO LÄN</t>
        </is>
      </c>
      <c r="G210" t="inlineStr">
        <is>
          <t>LJUSNARSBERG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2836-2023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45167</v>
      </c>
      <c r="E211" s="1" t="n">
        <v>46234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707-2025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45720</v>
      </c>
      <c r="E212" s="1" t="n">
        <v>46234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1972-2025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45832</v>
      </c>
      <c r="E213" s="1" t="n">
        <v>46234</v>
      </c>
      <c r="F213" t="inlineStr">
        <is>
          <t>ÖREBRO LÄN</t>
        </is>
      </c>
      <c r="G213" t="inlineStr">
        <is>
          <t>LJUSNARSBERG</t>
        </is>
      </c>
      <c r="H213" t="inlineStr">
        <is>
          <t>Sveaskog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3578-2025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46010</v>
      </c>
      <c r="E214" s="1" t="n">
        <v>46234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603-2026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46085</v>
      </c>
      <c r="E215" s="1" t="n">
        <v>46234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125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1743-2026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46185</v>
      </c>
      <c r="E216" s="1" t="n">
        <v>46234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16.8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1624-2026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46174</v>
      </c>
      <c r="E217" s="1" t="n">
        <v>46234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2026-07-31T01:52:06Z</dcterms:created>
  <dcterms:modified xmlns:dcterms="http://purl.org/dc/terms/" xmlns:xsi="http://www.w3.org/2001/XMLSchema-instance" xsi:type="dcterms:W3CDTF">2026-07-31T01:52:06Z</dcterms:modified>
</cp:coreProperties>
</file>