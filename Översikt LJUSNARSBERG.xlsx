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46267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46267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46267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46267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46267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46267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46267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46267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46267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46267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46267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46267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46267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46267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46267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46267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46267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20797-2022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44701</v>
      </c>
      <c r="E23" s="1" t="n">
        <v>46267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HYPERLINK("https://klasma.github.io/Logging_1864/artfynd/A 20797-2022 artfynd.xlsx", "A 20797-2022")</f>
        <v/>
      </c>
      <c r="X23">
        <f>HYPERLINK("https://klasma.github.io/Logging_1864/kartor/A 20797-2022 karta.png", "A 20797-2022")</f>
        <v/>
      </c>
      <c r="Y23">
        <f>HYPERLINK("https://klasma.github.io/Logging_1864/kartor_geotiff/A 20797-2022 georefererad karta.tif", "A 20797-2022")</f>
        <v/>
      </c>
      <c r="AA23">
        <f>HYPERLINK("https://klasma.github.io/Logging_1864/klagomål/A 20797-2022 FSC-klagomål.docx", "A 20797-2022")</f>
        <v/>
      </c>
      <c r="AB23">
        <f>HYPERLINK("https://klasma.github.io/Logging_1864/klagomålsmail/A 20797-2022 FSC-klagomål mail.docx", "A 20797-2022")</f>
        <v/>
      </c>
      <c r="AC23">
        <f>HYPERLINK("https://klasma.github.io/Logging_1864/tillsyn/A 20797-2022 tillsynsbegäran.docx", "A 20797-2022")</f>
        <v/>
      </c>
      <c r="AD23">
        <f>HYPERLINK("https://klasma.github.io/Logging_1864/tillsynsmail/A 20797-2022 tillsynsbegäran mail.docx", "A 20797-2022")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46267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46267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46267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46267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46267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46267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46267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46267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64400-2021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46267</v>
      </c>
      <c r="F32" t="inlineStr">
        <is>
          <t>ÖREBRO LÄN</t>
        </is>
      </c>
      <c r="G32" t="inlineStr">
        <is>
          <t>LJUSNARSBERG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45859-2021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44441</v>
      </c>
      <c r="E33" s="1" t="n">
        <v>46267</v>
      </c>
      <c r="F33" t="inlineStr">
        <is>
          <t>ÖREBRO LÄN</t>
        </is>
      </c>
      <c r="G33" t="inlineStr">
        <is>
          <t>LJUSNARSBERG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72157-2021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44544</v>
      </c>
      <c r="E34" s="1" t="n">
        <v>46267</v>
      </c>
      <c r="F34" t="inlineStr">
        <is>
          <t>ÖREBRO LÄN</t>
        </is>
      </c>
      <c r="G34" t="inlineStr">
        <is>
          <t>LJUSNARSBERG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64978-2021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44513</v>
      </c>
      <c r="E35" s="1" t="n">
        <v>46267</v>
      </c>
      <c r="F35" t="inlineStr">
        <is>
          <t>ÖREBRO LÄN</t>
        </is>
      </c>
      <c r="G35" t="inlineStr">
        <is>
          <t>LJUSNARSBERG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44572</v>
      </c>
      <c r="E36" s="1" t="n">
        <v>46267</v>
      </c>
      <c r="F36" t="inlineStr">
        <is>
          <t>ÖREBRO LÄN</t>
        </is>
      </c>
      <c r="G36" t="inlineStr">
        <is>
          <t>LJUSNARSBERG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44595</v>
      </c>
      <c r="E37" s="1" t="n">
        <v>46267</v>
      </c>
      <c r="F37" t="inlineStr">
        <is>
          <t>ÖREBRO LÄN</t>
        </is>
      </c>
      <c r="G37" t="inlineStr">
        <is>
          <t>LJUSNARSBERG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46267</v>
      </c>
      <c r="F38" t="inlineStr">
        <is>
          <t>ÖREBRO LÄN</t>
        </is>
      </c>
      <c r="G38" t="inlineStr">
        <is>
          <t>LJUSNARSBERG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46267</v>
      </c>
      <c r="F39" t="inlineStr">
        <is>
          <t>ÖREBRO LÄN</t>
        </is>
      </c>
      <c r="G39" t="inlineStr">
        <is>
          <t>LJUSNARSBERG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46267</v>
      </c>
      <c r="F40" t="inlineStr">
        <is>
          <t>ÖREBRO LÄN</t>
        </is>
      </c>
      <c r="G40" t="inlineStr">
        <is>
          <t>LJUSNARSBERG</t>
        </is>
      </c>
      <c r="H40" t="inlineStr">
        <is>
          <t>Bergvik skog väst AB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46267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44790</v>
      </c>
      <c r="E42" s="1" t="n">
        <v>46267</v>
      </c>
      <c r="F42" t="inlineStr">
        <is>
          <t>ÖREBRO LÄN</t>
        </is>
      </c>
      <c r="G42" t="inlineStr">
        <is>
          <t>LJUSNARSBERG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46267</v>
      </c>
      <c r="F43" t="inlineStr">
        <is>
          <t>ÖREBRO LÄN</t>
        </is>
      </c>
      <c r="G43" t="inlineStr">
        <is>
          <t>LJUSNARSBERG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46267</v>
      </c>
      <c r="F44" t="inlineStr">
        <is>
          <t>ÖREBRO LÄN</t>
        </is>
      </c>
      <c r="G44" t="inlineStr">
        <is>
          <t>LJUSNARSBERG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46267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46267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46267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46267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45574</v>
      </c>
      <c r="E49" s="1" t="n">
        <v>46267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46267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45347</v>
      </c>
      <c r="E51" s="1" t="n">
        <v>46267</v>
      </c>
      <c r="F51" t="inlineStr">
        <is>
          <t>ÖREBRO LÄN</t>
        </is>
      </c>
      <c r="G51" t="inlineStr">
        <is>
          <t>LJUSNARSBERG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46267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46267</v>
      </c>
      <c r="F53" t="inlineStr">
        <is>
          <t>ÖREBRO LÄN</t>
        </is>
      </c>
      <c r="G53" t="inlineStr">
        <is>
          <t>LJUSNARSBERG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46267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46267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46267</v>
      </c>
      <c r="F56" t="inlineStr">
        <is>
          <t>ÖREBRO LÄN</t>
        </is>
      </c>
      <c r="G56" t="inlineStr">
        <is>
          <t>LJUSNARSBERG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22887-2024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45448</v>
      </c>
      <c r="E57" s="1" t="n">
        <v>46267</v>
      </c>
      <c r="F57" t="inlineStr">
        <is>
          <t>ÖREBRO LÄN</t>
        </is>
      </c>
      <c r="G57" t="inlineStr">
        <is>
          <t>LJUSNARSBERG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45807</v>
      </c>
      <c r="E58" s="1" t="n">
        <v>46267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59497-2024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45638</v>
      </c>
      <c r="E59" s="1" t="n">
        <v>46267</v>
      </c>
      <c r="F59" t="inlineStr">
        <is>
          <t>ÖREBRO LÄN</t>
        </is>
      </c>
      <c r="G59" t="inlineStr">
        <is>
          <t>LJUSNARSBERG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44999</v>
      </c>
      <c r="E60" s="1" t="n">
        <v>46267</v>
      </c>
      <c r="F60" t="inlineStr">
        <is>
          <t>ÖREBRO LÄN</t>
        </is>
      </c>
      <c r="G60" t="inlineStr">
        <is>
          <t>LJUSNARSBERG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20673-2025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45776</v>
      </c>
      <c r="E61" s="1" t="n">
        <v>46267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46267</v>
      </c>
      <c r="F62" t="inlineStr">
        <is>
          <t>ÖREBRO LÄN</t>
        </is>
      </c>
      <c r="G62" t="inlineStr">
        <is>
          <t>LJUSNARSBERG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45538-2024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45578</v>
      </c>
      <c r="E63" s="1" t="n">
        <v>46267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45638</v>
      </c>
      <c r="E64" s="1" t="n">
        <v>46267</v>
      </c>
      <c r="F64" t="inlineStr">
        <is>
          <t>ÖREBRO LÄN</t>
        </is>
      </c>
      <c r="G64" t="inlineStr">
        <is>
          <t>LJUSNARSBERG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46267</v>
      </c>
      <c r="F65" t="inlineStr">
        <is>
          <t>ÖREBRO LÄN</t>
        </is>
      </c>
      <c r="G65" t="inlineStr">
        <is>
          <t>LJUSNARSBERG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45574</v>
      </c>
      <c r="E66" s="1" t="n">
        <v>46267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11.4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46267</v>
      </c>
      <c r="F67" t="inlineStr">
        <is>
          <t>ÖREBRO LÄN</t>
        </is>
      </c>
      <c r="G67" t="inlineStr">
        <is>
          <t>LJUSNARSBERG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29572-2025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46267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45827</v>
      </c>
      <c r="E69" s="1" t="n">
        <v>46267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45827</v>
      </c>
      <c r="E70" s="1" t="n">
        <v>46267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46267</v>
      </c>
      <c r="F71" t="inlineStr">
        <is>
          <t>ÖREBRO LÄN</t>
        </is>
      </c>
      <c r="G71" t="inlineStr">
        <is>
          <t>LJUSNARSBERG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46267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46267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46267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46267</v>
      </c>
      <c r="F75" t="inlineStr">
        <is>
          <t>ÖREBRO LÄN</t>
        </is>
      </c>
      <c r="G75" t="inlineStr">
        <is>
          <t>LJUSNARSBERG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46267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46267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46267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46267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46267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46267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46267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46267</v>
      </c>
      <c r="F83" t="inlineStr">
        <is>
          <t>ÖREBRO LÄN</t>
        </is>
      </c>
      <c r="G83" t="inlineStr">
        <is>
          <t>LJUSNARSBERG</t>
        </is>
      </c>
      <c r="H83" t="inlineStr">
        <is>
          <t>Kyrkan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46267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46267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46267</v>
      </c>
      <c r="F86" t="inlineStr">
        <is>
          <t>ÖREBRO LÄN</t>
        </is>
      </c>
      <c r="G86" t="inlineStr">
        <is>
          <t>LJUSNARSBERG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46267</v>
      </c>
      <c r="F87" t="inlineStr">
        <is>
          <t>ÖREBRO LÄN</t>
        </is>
      </c>
      <c r="G87" t="inlineStr">
        <is>
          <t>LJUSNARSBERG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25574-2023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45089</v>
      </c>
      <c r="E88" s="1" t="n">
        <v>46267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46267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46267</v>
      </c>
      <c r="F90" t="inlineStr">
        <is>
          <t>ÖREBRO LÄN</t>
        </is>
      </c>
      <c r="G90" t="inlineStr">
        <is>
          <t>LJUSNARSBERG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46267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46267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45659</v>
      </c>
      <c r="E93" s="1" t="n">
        <v>46267</v>
      </c>
      <c r="F93" t="inlineStr">
        <is>
          <t>ÖREBRO LÄN</t>
        </is>
      </c>
      <c r="G93" t="inlineStr">
        <is>
          <t>LJUSNARSBERG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46267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46267</v>
      </c>
      <c r="F95" t="inlineStr">
        <is>
          <t>ÖREBRO LÄN</t>
        </is>
      </c>
      <c r="G95" t="inlineStr">
        <is>
          <t>LJUSNARSBERG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46267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46267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46267</v>
      </c>
      <c r="F98" t="inlineStr">
        <is>
          <t>ÖREBRO LÄN</t>
        </is>
      </c>
      <c r="G98" t="inlineStr">
        <is>
          <t>LJUSNARSBERG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46267</v>
      </c>
      <c r="F99" t="inlineStr">
        <is>
          <t>ÖREBRO LÄN</t>
        </is>
      </c>
      <c r="G99" t="inlineStr">
        <is>
          <t>LJUSNARSBERG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46267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46267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46267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46267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46267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46267</v>
      </c>
      <c r="F105" t="inlineStr">
        <is>
          <t>ÖREBRO LÄN</t>
        </is>
      </c>
      <c r="G105" t="inlineStr">
        <is>
          <t>LJUSNARSBERG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46267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46267</v>
      </c>
      <c r="F107" t="inlineStr">
        <is>
          <t>ÖREBRO LÄN</t>
        </is>
      </c>
      <c r="G107" t="inlineStr">
        <is>
          <t>LJUSNARSBERG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44720</v>
      </c>
      <c r="E108" s="1" t="n">
        <v>46267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46267</v>
      </c>
      <c r="F109" t="inlineStr">
        <is>
          <t>ÖREBRO LÄN</t>
        </is>
      </c>
      <c r="G109" t="inlineStr">
        <is>
          <t>LJUSNARSBERG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44720</v>
      </c>
      <c r="E110" s="1" t="n">
        <v>46267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50865-2025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45946</v>
      </c>
      <c r="E111" s="1" t="n">
        <v>46267</v>
      </c>
      <c r="F111" t="inlineStr">
        <is>
          <t>ÖREBRO LÄN</t>
        </is>
      </c>
      <c r="G111" t="inlineStr">
        <is>
          <t>LJUSNARSBERG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44734</v>
      </c>
      <c r="E112" s="1" t="n">
        <v>46267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45951</v>
      </c>
      <c r="E113" s="1" t="n">
        <v>46267</v>
      </c>
      <c r="F113" t="inlineStr">
        <is>
          <t>ÖREBRO LÄN</t>
        </is>
      </c>
      <c r="G113" t="inlineStr">
        <is>
          <t>LJUSNARSBERG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44565</v>
      </c>
      <c r="E114" s="1" t="n">
        <v>46267</v>
      </c>
      <c r="F114" t="inlineStr">
        <is>
          <t>ÖREBRO LÄN</t>
        </is>
      </c>
      <c r="G114" t="inlineStr">
        <is>
          <t>LJUSNARSBERG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44874</v>
      </c>
      <c r="E115" s="1" t="n">
        <v>46267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46267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46267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46267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46263-2021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46267</v>
      </c>
      <c r="F119" t="inlineStr">
        <is>
          <t>ÖREBRO LÄN</t>
        </is>
      </c>
      <c r="G119" t="inlineStr">
        <is>
          <t>LJUSNARSBERG</t>
        </is>
      </c>
      <c r="I119" t="n">
        <v>8.699999999999999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46267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46267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46267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45394</v>
      </c>
      <c r="E123" s="1" t="n">
        <v>46267</v>
      </c>
      <c r="F123" t="inlineStr">
        <is>
          <t>ÖREBRO LÄN</t>
        </is>
      </c>
      <c r="G123" t="inlineStr">
        <is>
          <t>LJUSNARSBERG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46267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46267</v>
      </c>
      <c r="F125" t="inlineStr">
        <is>
          <t>ÖREBRO LÄN</t>
        </is>
      </c>
      <c r="G125" t="inlineStr">
        <is>
          <t>LJUSNARSBERG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46267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45581</v>
      </c>
      <c r="E127" s="1" t="n">
        <v>46267</v>
      </c>
      <c r="F127" t="inlineStr">
        <is>
          <t>ÖREBRO LÄN</t>
        </is>
      </c>
      <c r="G127" t="inlineStr">
        <is>
          <t>LJUSNARSBERG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44564</v>
      </c>
      <c r="E128" s="1" t="n">
        <v>46267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46267</v>
      </c>
      <c r="F129" t="inlineStr">
        <is>
          <t>ÖREBRO LÄN</t>
        </is>
      </c>
      <c r="G129" t="inlineStr">
        <is>
          <t>LJUSNARSBERG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46267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46267</v>
      </c>
      <c r="F131" t="inlineStr">
        <is>
          <t>ÖREBRO LÄN</t>
        </is>
      </c>
      <c r="G131" t="inlineStr">
        <is>
          <t>LJUSNARSBERG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46133</v>
      </c>
      <c r="E132" s="1" t="n">
        <v>46267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46267</v>
      </c>
      <c r="F133" t="inlineStr">
        <is>
          <t>ÖREBRO LÄN</t>
        </is>
      </c>
      <c r="G133" t="inlineStr">
        <is>
          <t>LJUSNARSBERG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46267</v>
      </c>
      <c r="F134" t="inlineStr">
        <is>
          <t>ÖREBRO LÄN</t>
        </is>
      </c>
      <c r="G134" t="inlineStr">
        <is>
          <t>LJUSNARSBERG</t>
        </is>
      </c>
      <c r="H134" t="inlineStr">
        <is>
          <t>Sveaskog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46267</v>
      </c>
      <c r="F135" t="inlineStr">
        <is>
          <t>ÖREBRO LÄN</t>
        </is>
      </c>
      <c r="G135" t="inlineStr">
        <is>
          <t>LJUSNARSBERG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46267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46267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46267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46267</v>
      </c>
      <c r="F139" t="inlineStr">
        <is>
          <t>ÖREBRO LÄN</t>
        </is>
      </c>
      <c r="G139" t="inlineStr">
        <is>
          <t>LJUSNARSBERG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44694</v>
      </c>
      <c r="E140" s="1" t="n">
        <v>46267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45124</v>
      </c>
      <c r="E141" s="1" t="n">
        <v>46267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46267</v>
      </c>
      <c r="F142" t="inlineStr">
        <is>
          <t>ÖREBRO LÄN</t>
        </is>
      </c>
      <c r="G142" t="inlineStr">
        <is>
          <t>LJUSNARSBERG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36108-2024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46267</v>
      </c>
      <c r="F143" t="inlineStr">
        <is>
          <t>ÖREBRO LÄN</t>
        </is>
      </c>
      <c r="G143" t="inlineStr">
        <is>
          <t>LJUSNARSBERG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46267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46267</v>
      </c>
      <c r="F145" t="inlineStr">
        <is>
          <t>ÖREBRO LÄN</t>
        </is>
      </c>
      <c r="G145" t="inlineStr">
        <is>
          <t>LJUSNARSBERG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46267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46267</v>
      </c>
      <c r="F147" t="inlineStr">
        <is>
          <t>ÖREBRO LÄN</t>
        </is>
      </c>
      <c r="G147" t="inlineStr">
        <is>
          <t>LJUSNARSBERG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21186-2026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46267</v>
      </c>
      <c r="F148" t="inlineStr">
        <is>
          <t>ÖREBRO LÄN</t>
        </is>
      </c>
      <c r="G148" t="inlineStr">
        <is>
          <t>LJUSNARSBERG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46267</v>
      </c>
      <c r="F149" t="inlineStr">
        <is>
          <t>ÖREBRO LÄN</t>
        </is>
      </c>
      <c r="G149" t="inlineStr">
        <is>
          <t>LJUSNARSBERG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57129-2021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44482</v>
      </c>
      <c r="E150" s="1" t="n">
        <v>46267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46267</v>
      </c>
      <c r="F151" t="inlineStr">
        <is>
          <t>ÖREBRO LÄN</t>
        </is>
      </c>
      <c r="G151" t="inlineStr">
        <is>
          <t>LJUSNARSBERG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46267</v>
      </c>
      <c r="F152" t="inlineStr">
        <is>
          <t>ÖREBRO LÄN</t>
        </is>
      </c>
      <c r="G152" t="inlineStr">
        <is>
          <t>LJUSNARSBERG</t>
        </is>
      </c>
      <c r="I152" t="n">
        <v>14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46267</v>
      </c>
      <c r="F153" t="inlineStr">
        <is>
          <t>ÖREBRO LÄN</t>
        </is>
      </c>
      <c r="G153" t="inlineStr">
        <is>
          <t>LJUSNARSBERG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45399</v>
      </c>
      <c r="E154" s="1" t="n">
        <v>46267</v>
      </c>
      <c r="F154" t="inlineStr">
        <is>
          <t>ÖREBRO LÄN</t>
        </is>
      </c>
      <c r="G154" t="inlineStr">
        <is>
          <t>LJUSNARSBERG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46267</v>
      </c>
      <c r="F155" t="inlineStr">
        <is>
          <t>ÖREBRO LÄN</t>
        </is>
      </c>
      <c r="G155" t="inlineStr">
        <is>
          <t>LJUSNARSBERG</t>
        </is>
      </c>
      <c r="H155" t="inlineStr">
        <is>
          <t>Kommuner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46267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46267</v>
      </c>
      <c r="F157" t="inlineStr">
        <is>
          <t>ÖREBRO LÄN</t>
        </is>
      </c>
      <c r="G157" t="inlineStr">
        <is>
          <t>LJUSNARSBERG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46267</v>
      </c>
      <c r="F158" t="inlineStr">
        <is>
          <t>ÖREBRO LÄN</t>
        </is>
      </c>
      <c r="G158" t="inlineStr">
        <is>
          <t>LJUSNARSBERG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62843-2021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46267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45177</v>
      </c>
      <c r="E160" s="1" t="n">
        <v>46267</v>
      </c>
      <c r="F160" t="inlineStr">
        <is>
          <t>ÖREBRO LÄN</t>
        </is>
      </c>
      <c r="G160" t="inlineStr">
        <is>
          <t>LJUSNARSBERG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46267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46167</v>
      </c>
      <c r="E162" s="1" t="n">
        <v>46267</v>
      </c>
      <c r="F162" t="inlineStr">
        <is>
          <t>ÖREBRO LÄN</t>
        </is>
      </c>
      <c r="G162" t="inlineStr">
        <is>
          <t>LJUSNARSBERG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46267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46267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46167</v>
      </c>
      <c r="E165" s="1" t="n">
        <v>46267</v>
      </c>
      <c r="F165" t="inlineStr">
        <is>
          <t>ÖREBRO LÄN</t>
        </is>
      </c>
      <c r="G165" t="inlineStr">
        <is>
          <t>LJUSNARSBERG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46267</v>
      </c>
      <c r="F166" t="inlineStr">
        <is>
          <t>ÖREBRO LÄN</t>
        </is>
      </c>
      <c r="G166" t="inlineStr">
        <is>
          <t>LJUSNARSBERG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46267</v>
      </c>
      <c r="F167" t="inlineStr">
        <is>
          <t>ÖREBRO LÄN</t>
        </is>
      </c>
      <c r="G167" t="inlineStr">
        <is>
          <t>LJUSNARSBERG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17276-2023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45035</v>
      </c>
      <c r="E168" s="1" t="n">
        <v>46267</v>
      </c>
      <c r="F168" t="inlineStr">
        <is>
          <t>ÖREBRO LÄN</t>
        </is>
      </c>
      <c r="G168" t="inlineStr">
        <is>
          <t>LJUSNARSBERG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46267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46267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46267</v>
      </c>
      <c r="F171" t="inlineStr">
        <is>
          <t>ÖREBRO LÄN</t>
        </is>
      </c>
      <c r="G171" t="inlineStr">
        <is>
          <t>LJUSNARSBERG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46267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46267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45578</v>
      </c>
      <c r="E174" s="1" t="n">
        <v>46267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46267</v>
      </c>
      <c r="F175" t="inlineStr">
        <is>
          <t>ÖREBRO LÄN</t>
        </is>
      </c>
      <c r="G175" t="inlineStr">
        <is>
          <t>LJUSNARSBERG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46267</v>
      </c>
      <c r="F176" t="inlineStr">
        <is>
          <t>ÖREBRO LÄN</t>
        </is>
      </c>
      <c r="G176" t="inlineStr">
        <is>
          <t>LJUSNARSBERG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46247</v>
      </c>
      <c r="E177" s="1" t="n">
        <v>46267</v>
      </c>
      <c r="F177" t="inlineStr">
        <is>
          <t>ÖREBRO LÄN</t>
        </is>
      </c>
      <c r="G177" t="inlineStr">
        <is>
          <t>LJUSNARSBERG</t>
        </is>
      </c>
      <c r="H177" t="inlineStr">
        <is>
          <t>Kyrkan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46267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44690</v>
      </c>
      <c r="E179" s="1" t="n">
        <v>46267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59495-2024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45638</v>
      </c>
      <c r="E180" s="1" t="n">
        <v>46267</v>
      </c>
      <c r="F180" t="inlineStr">
        <is>
          <t>ÖREBRO LÄN</t>
        </is>
      </c>
      <c r="G180" t="inlineStr">
        <is>
          <t>LJUSNARSBERG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46267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46267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46267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46267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46267</v>
      </c>
      <c r="F185" t="inlineStr">
        <is>
          <t>ÖREBRO LÄN</t>
        </is>
      </c>
      <c r="G185" t="inlineStr">
        <is>
          <t>LJUSNARSBERG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46267</v>
      </c>
      <c r="F186" t="inlineStr">
        <is>
          <t>ÖREBRO LÄN</t>
        </is>
      </c>
      <c r="G186" t="inlineStr">
        <is>
          <t>LJUSNARSBERG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46267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46267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46267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46267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46267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46267</v>
      </c>
      <c r="F192" t="inlineStr">
        <is>
          <t>ÖREBRO LÄN</t>
        </is>
      </c>
      <c r="G192" t="inlineStr">
        <is>
          <t>LJUSNARSBERG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46267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46267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46267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1099-2022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44615</v>
      </c>
      <c r="E196" s="1" t="n">
        <v>46267</v>
      </c>
      <c r="F196" t="inlineStr">
        <is>
          <t>ÖREBRO LÄN</t>
        </is>
      </c>
      <c r="G196" t="inlineStr">
        <is>
          <t>LJUSNARSBERG</t>
        </is>
      </c>
      <c r="H196" t="inlineStr">
        <is>
          <t>Sveaskog</t>
        </is>
      </c>
      <c r="I196" t="n">
        <v>147.4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46267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46267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46267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46267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46267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46267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46267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46267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46267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46267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46267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46267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2026-09-02T02:02:53Z</dcterms:created>
  <dcterms:modified xmlns:dcterms="http://purl.org/dc/terms/" xmlns:xsi="http://www.w3.org/2001/XMLSchema-instance" xsi:type="dcterms:W3CDTF">2026-09-02T02:02:53Z</dcterms:modified>
</cp:coreProperties>
</file>