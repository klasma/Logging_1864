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45639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45639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45639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58690-2024</t>
        </is>
      </c>
      <c r="B7" s="1" t="n">
        <v>45635</v>
      </c>
      <c r="C7" s="1" t="n">
        <v>45639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3.4</v>
      </c>
      <c r="H7" t="n">
        <v>3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Fältgentiana
Purpurknipprot
Tvåblad
Fläcknycklar</t>
        </is>
      </c>
      <c r="S7">
        <f>HYPERLINK("https://klasma.github.io/Logging_1864/artfynd/A 58690-2024 artfynd.xlsx", "A 58690-2024")</f>
        <v/>
      </c>
      <c r="T7">
        <f>HYPERLINK("https://klasma.github.io/Logging_1864/kartor/A 58690-2024 karta.png", "A 58690-2024")</f>
        <v/>
      </c>
      <c r="V7">
        <f>HYPERLINK("https://klasma.github.io/Logging_1864/klagomål/A 58690-2024 FSC-klagomål.docx", "A 58690-2024")</f>
        <v/>
      </c>
      <c r="W7">
        <f>HYPERLINK("https://klasma.github.io/Logging_1864/klagomålsmail/A 58690-2024 FSC-klagomål mail.docx", "A 58690-2024")</f>
        <v/>
      </c>
      <c r="X7">
        <f>HYPERLINK("https://klasma.github.io/Logging_1864/tillsyn/A 58690-2024 tillsynsbegäran.docx", "A 58690-2024")</f>
        <v/>
      </c>
      <c r="Y7">
        <f>HYPERLINK("https://klasma.github.io/Logging_1864/tillsynsmail/A 58690-2024 tillsynsbegäran mail.docx", "A 58690-2024")</f>
        <v/>
      </c>
    </row>
    <row r="8" ht="15" customHeight="1">
      <c r="A8" t="inlineStr">
        <is>
          <t>A 38627-2019</t>
        </is>
      </c>
      <c r="B8" s="1" t="n">
        <v>43686</v>
      </c>
      <c r="C8" s="1" t="n">
        <v>45639</v>
      </c>
      <c r="D8" t="inlineStr">
        <is>
          <t>ÖREBRO LÄN</t>
        </is>
      </c>
      <c r="E8" t="inlineStr">
        <is>
          <t>LJUSNARSBERG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Svavelriska
Thomsons trägnagare</t>
        </is>
      </c>
      <c r="S8">
        <f>HYPERLINK("https://klasma.github.io/Logging_1864/artfynd/A 38627-2019 artfynd.xlsx", "A 38627-2019")</f>
        <v/>
      </c>
      <c r="T8">
        <f>HYPERLINK("https://klasma.github.io/Logging_1864/kartor/A 38627-2019 karta.png", "A 38627-2019")</f>
        <v/>
      </c>
      <c r="V8">
        <f>HYPERLINK("https://klasma.github.io/Logging_1864/klagomål/A 38627-2019 FSC-klagomål.docx", "A 38627-2019")</f>
        <v/>
      </c>
      <c r="W8">
        <f>HYPERLINK("https://klasma.github.io/Logging_1864/klagomålsmail/A 38627-2019 FSC-klagomål mail.docx", "A 38627-2019")</f>
        <v/>
      </c>
      <c r="X8">
        <f>HYPERLINK("https://klasma.github.io/Logging_1864/tillsyn/A 38627-2019 tillsynsbegäran.docx", "A 38627-2019")</f>
        <v/>
      </c>
      <c r="Y8">
        <f>HYPERLINK("https://klasma.github.io/Logging_1864/tillsynsmail/A 38627-2019 tillsynsbegäran mail.docx", "A 38627-2019")</f>
        <v/>
      </c>
    </row>
    <row r="9" ht="15" customHeight="1">
      <c r="A9" t="inlineStr">
        <is>
          <t>A 43996-2021</t>
        </is>
      </c>
      <c r="B9" s="1" t="n">
        <v>44434</v>
      </c>
      <c r="C9" s="1" t="n">
        <v>45639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Fläcknycklar
Nattviol</t>
        </is>
      </c>
      <c r="S9">
        <f>HYPERLINK("https://klasma.github.io/Logging_1864/artfynd/A 43996-2021 artfynd.xlsx", "A 43996-2021")</f>
        <v/>
      </c>
      <c r="T9">
        <f>HYPERLINK("https://klasma.github.io/Logging_1864/kartor/A 43996-2021 karta.png", "A 43996-2021")</f>
        <v/>
      </c>
      <c r="V9">
        <f>HYPERLINK("https://klasma.github.io/Logging_1864/klagomål/A 43996-2021 FSC-klagomål.docx", "A 43996-2021")</f>
        <v/>
      </c>
      <c r="W9">
        <f>HYPERLINK("https://klasma.github.io/Logging_1864/klagomålsmail/A 43996-2021 FSC-klagomål mail.docx", "A 43996-2021")</f>
        <v/>
      </c>
      <c r="X9">
        <f>HYPERLINK("https://klasma.github.io/Logging_1864/tillsyn/A 43996-2021 tillsynsbegäran.docx", "A 43996-2021")</f>
        <v/>
      </c>
      <c r="Y9">
        <f>HYPERLINK("https://klasma.github.io/Logging_1864/tillsynsmail/A 43996-2021 tillsynsbegäran mail.docx", "A 43996-2021")</f>
        <v/>
      </c>
    </row>
    <row r="10" ht="15" customHeight="1">
      <c r="A10" t="inlineStr">
        <is>
          <t>A 45845-2024</t>
        </is>
      </c>
      <c r="B10" s="1" t="n">
        <v>45580</v>
      </c>
      <c r="C10" s="1" t="n">
        <v>45639</v>
      </c>
      <c r="D10" t="inlineStr">
        <is>
          <t>ÖREBRO LÄN</t>
        </is>
      </c>
      <c r="E10" t="inlineStr">
        <is>
          <t>LJUSNARSBERG</t>
        </is>
      </c>
      <c r="G10" t="n">
        <v>19.1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Bollvitmossa
Rödgul trumpetsvamp</t>
        </is>
      </c>
      <c r="S10">
        <f>HYPERLINK("https://klasma.github.io/Logging_1864/artfynd/A 45845-2024 artfynd.xlsx", "A 45845-2024")</f>
        <v/>
      </c>
      <c r="T10">
        <f>HYPERLINK("https://klasma.github.io/Logging_1864/kartor/A 45845-2024 karta.png", "A 45845-2024")</f>
        <v/>
      </c>
      <c r="V10">
        <f>HYPERLINK("https://klasma.github.io/Logging_1864/klagomål/A 45845-2024 FSC-klagomål.docx", "A 45845-2024")</f>
        <v/>
      </c>
      <c r="W10">
        <f>HYPERLINK("https://klasma.github.io/Logging_1864/klagomålsmail/A 45845-2024 FSC-klagomål mail.docx", "A 45845-2024")</f>
        <v/>
      </c>
      <c r="X10">
        <f>HYPERLINK("https://klasma.github.io/Logging_1864/tillsyn/A 45845-2024 tillsynsbegäran.docx", "A 45845-2024")</f>
        <v/>
      </c>
      <c r="Y10">
        <f>HYPERLINK("https://klasma.github.io/Logging_1864/tillsynsmail/A 45845-2024 tillsynsbegäran mail.docx", "A 45845-2024")</f>
        <v/>
      </c>
    </row>
    <row r="11" ht="15" customHeight="1">
      <c r="A11" t="inlineStr">
        <is>
          <t>A 65216-2021</t>
        </is>
      </c>
      <c r="B11" s="1" t="n">
        <v>44515</v>
      </c>
      <c r="C11" s="1" t="n">
        <v>45639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Mindre märgborre</t>
        </is>
      </c>
      <c r="S11">
        <f>HYPERLINK("https://klasma.github.io/Logging_1864/artfynd/A 65216-2021 artfynd.xlsx", "A 65216-2021")</f>
        <v/>
      </c>
      <c r="T11">
        <f>HYPERLINK("https://klasma.github.io/Logging_1864/kartor/A 65216-2021 karta.png", "A 65216-2021")</f>
        <v/>
      </c>
      <c r="V11">
        <f>HYPERLINK("https://klasma.github.io/Logging_1864/klagomål/A 65216-2021 FSC-klagomål.docx", "A 65216-2021")</f>
        <v/>
      </c>
      <c r="W11">
        <f>HYPERLINK("https://klasma.github.io/Logging_1864/klagomålsmail/A 65216-2021 FSC-klagomål mail.docx", "A 65216-2021")</f>
        <v/>
      </c>
      <c r="X11">
        <f>HYPERLINK("https://klasma.github.io/Logging_1864/tillsyn/A 65216-2021 tillsynsbegäran.docx", "A 65216-2021")</f>
        <v/>
      </c>
      <c r="Y11">
        <f>HYPERLINK("https://klasma.github.io/Logging_1864/tillsynsmail/A 65216-2021 tillsynsbegäran mail.docx", "A 65216-2021")</f>
        <v/>
      </c>
    </row>
    <row r="12" ht="15" customHeight="1">
      <c r="A12" t="inlineStr">
        <is>
          <t>A 65217-2021</t>
        </is>
      </c>
      <c r="B12" s="1" t="n">
        <v>44515</v>
      </c>
      <c r="C12" s="1" t="n">
        <v>45639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Tretåig hackspett
Vedtrappmossa</t>
        </is>
      </c>
      <c r="S12">
        <f>HYPERLINK("https://klasma.github.io/Logging_1864/artfynd/A 65217-2021 artfynd.xlsx", "A 65217-2021")</f>
        <v/>
      </c>
      <c r="T12">
        <f>HYPERLINK("https://klasma.github.io/Logging_1864/kartor/A 65217-2021 karta.png", "A 65217-2021")</f>
        <v/>
      </c>
      <c r="V12">
        <f>HYPERLINK("https://klasma.github.io/Logging_1864/klagomål/A 65217-2021 FSC-klagomål.docx", "A 65217-2021")</f>
        <v/>
      </c>
      <c r="W12">
        <f>HYPERLINK("https://klasma.github.io/Logging_1864/klagomålsmail/A 65217-2021 FSC-klagomål mail.docx", "A 65217-2021")</f>
        <v/>
      </c>
      <c r="X12">
        <f>HYPERLINK("https://klasma.github.io/Logging_1864/tillsyn/A 65217-2021 tillsynsbegäran.docx", "A 65217-2021")</f>
        <v/>
      </c>
      <c r="Y12">
        <f>HYPERLINK("https://klasma.github.io/Logging_1864/tillsynsmail/A 65217-2021 tillsynsbegäran mail.docx", "A 65217-2021")</f>
        <v/>
      </c>
      <c r="Z12">
        <f>HYPERLINK("https://klasma.github.io/Logging_1864/fåglar/A 65217-2021 prioriterade fågelarter.docx", "A 65217-2021")</f>
        <v/>
      </c>
    </row>
    <row r="13" ht="15" customHeight="1">
      <c r="A13" t="inlineStr">
        <is>
          <t>A 41078-2022</t>
        </is>
      </c>
      <c r="B13" s="1" t="n">
        <v>44825</v>
      </c>
      <c r="C13" s="1" t="n">
        <v>45639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24.1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Tajgafältmätare
Grönpyrola</t>
        </is>
      </c>
      <c r="S13">
        <f>HYPERLINK("https://klasma.github.io/Logging_1864/artfynd/A 41078-2022 artfynd.xlsx", "A 41078-2022")</f>
        <v/>
      </c>
      <c r="T13">
        <f>HYPERLINK("https://klasma.github.io/Logging_1864/kartor/A 41078-2022 karta.png", "A 41078-2022")</f>
        <v/>
      </c>
      <c r="V13">
        <f>HYPERLINK("https://klasma.github.io/Logging_1864/klagomål/A 41078-2022 FSC-klagomål.docx", "A 41078-2022")</f>
        <v/>
      </c>
      <c r="W13">
        <f>HYPERLINK("https://klasma.github.io/Logging_1864/klagomålsmail/A 41078-2022 FSC-klagomål mail.docx", "A 41078-2022")</f>
        <v/>
      </c>
      <c r="X13">
        <f>HYPERLINK("https://klasma.github.io/Logging_1864/tillsyn/A 41078-2022 tillsynsbegäran.docx", "A 41078-2022")</f>
        <v/>
      </c>
      <c r="Y13">
        <f>HYPERLINK("https://klasma.github.io/Logging_1864/tillsynsmail/A 41078-2022 tillsynsbegäran mail.docx", "A 41078-2022")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45639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30360-2023</t>
        </is>
      </c>
      <c r="B15" s="1" t="n">
        <v>45111</v>
      </c>
      <c r="C15" s="1" t="n">
        <v>45639</v>
      </c>
      <c r="D15" t="inlineStr">
        <is>
          <t>ÖREBRO LÄN</t>
        </is>
      </c>
      <c r="E15" t="inlineStr">
        <is>
          <t>LJUSNARSBERG</t>
        </is>
      </c>
      <c r="G15" t="n">
        <v>20.1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Vedticka</t>
        </is>
      </c>
      <c r="S15">
        <f>HYPERLINK("https://klasma.github.io/Logging_1864/artfynd/A 30360-2023 artfynd.xlsx", "A 30360-2023")</f>
        <v/>
      </c>
      <c r="T15">
        <f>HYPERLINK("https://klasma.github.io/Logging_1864/kartor/A 30360-2023 karta.png", "A 30360-2023")</f>
        <v/>
      </c>
      <c r="V15">
        <f>HYPERLINK("https://klasma.github.io/Logging_1864/klagomål/A 30360-2023 FSC-klagomål.docx", "A 30360-2023")</f>
        <v/>
      </c>
      <c r="W15">
        <f>HYPERLINK("https://klasma.github.io/Logging_1864/klagomålsmail/A 30360-2023 FSC-klagomål mail.docx", "A 30360-2023")</f>
        <v/>
      </c>
      <c r="X15">
        <f>HYPERLINK("https://klasma.github.io/Logging_1864/tillsyn/A 30360-2023 tillsynsbegäran.docx", "A 30360-2023")</f>
        <v/>
      </c>
      <c r="Y15">
        <f>HYPERLINK("https://klasma.github.io/Logging_1864/tillsynsmail/A 30360-2023 tillsynsbegäran mail.docx", "A 30360-2023")</f>
        <v/>
      </c>
    </row>
    <row r="16" ht="15" customHeight="1">
      <c r="A16" t="inlineStr">
        <is>
          <t>A 49157-2023</t>
        </is>
      </c>
      <c r="B16" s="1" t="n">
        <v>45210</v>
      </c>
      <c r="C16" s="1" t="n">
        <v>45639</v>
      </c>
      <c r="D16" t="inlineStr">
        <is>
          <t>ÖREBRO LÄN</t>
        </is>
      </c>
      <c r="E16" t="inlineStr">
        <is>
          <t>LJUSNARSBERG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Skogshakmossa</t>
        </is>
      </c>
      <c r="S16">
        <f>HYPERLINK("https://klasma.github.io/Logging_1864/artfynd/A 49157-2023 artfynd.xlsx", "A 49157-2023")</f>
        <v/>
      </c>
      <c r="T16">
        <f>HYPERLINK("https://klasma.github.io/Logging_1864/kartor/A 49157-2023 karta.png", "A 49157-2023")</f>
        <v/>
      </c>
      <c r="V16">
        <f>HYPERLINK("https://klasma.github.io/Logging_1864/klagomål/A 49157-2023 FSC-klagomål.docx", "A 49157-2023")</f>
        <v/>
      </c>
      <c r="W16">
        <f>HYPERLINK("https://klasma.github.io/Logging_1864/klagomålsmail/A 49157-2023 FSC-klagomål mail.docx", "A 49157-2023")</f>
        <v/>
      </c>
      <c r="X16">
        <f>HYPERLINK("https://klasma.github.io/Logging_1864/tillsyn/A 49157-2023 tillsynsbegäran.docx", "A 49157-2023")</f>
        <v/>
      </c>
      <c r="Y16">
        <f>HYPERLINK("https://klasma.github.io/Logging_1864/tillsynsmail/A 49157-2023 tillsynsbegäran mail.docx", "A 49157-2023")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45639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12383-2020</t>
        </is>
      </c>
      <c r="B18" s="1" t="n">
        <v>43896</v>
      </c>
      <c r="C18" s="1" t="n">
        <v>45639</v>
      </c>
      <c r="D18" t="inlineStr">
        <is>
          <t>ÖREBRO LÄN</t>
        </is>
      </c>
      <c r="E18" t="inlineStr">
        <is>
          <t>LJUSNARSBERG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HYPERLINK("https://klasma.github.io/Logging_1864/artfynd/A 12383-2020 artfynd.xlsx", "A 12383-2020")</f>
        <v/>
      </c>
      <c r="T18">
        <f>HYPERLINK("https://klasma.github.io/Logging_1864/kartor/A 12383-2020 karta.png", "A 12383-2020")</f>
        <v/>
      </c>
      <c r="V18">
        <f>HYPERLINK("https://klasma.github.io/Logging_1864/klagomål/A 12383-2020 FSC-klagomål.docx", "A 12383-2020")</f>
        <v/>
      </c>
      <c r="W18">
        <f>HYPERLINK("https://klasma.github.io/Logging_1864/klagomålsmail/A 12383-2020 FSC-klagomål mail.docx", "A 12383-2020")</f>
        <v/>
      </c>
      <c r="X18">
        <f>HYPERLINK("https://klasma.github.io/Logging_1864/tillsyn/A 12383-2020 tillsynsbegäran.docx", "A 12383-2020")</f>
        <v/>
      </c>
      <c r="Y18">
        <f>HYPERLINK("https://klasma.github.io/Logging_1864/tillsynsmail/A 12383-2020 tillsynsbegäran mail.docx", "A 12383-2020")</f>
        <v/>
      </c>
    </row>
    <row r="19" ht="15" customHeight="1">
      <c r="A19" t="inlineStr">
        <is>
          <t>A 47044-2020</t>
        </is>
      </c>
      <c r="B19" s="1" t="n">
        <v>44091</v>
      </c>
      <c r="C19" s="1" t="n">
        <v>45639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7.6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HYPERLINK("https://klasma.github.io/Logging_1864/artfynd/A 47044-2020 artfynd.xlsx", "A 47044-2020")</f>
        <v/>
      </c>
      <c r="T19">
        <f>HYPERLINK("https://klasma.github.io/Logging_1864/kartor/A 47044-2020 karta.png", "A 47044-2020")</f>
        <v/>
      </c>
      <c r="U19">
        <f>HYPERLINK("https://klasma.github.io/Logging_1864/knärot/A 47044-2020 karta knärot.png", "A 47044-2020")</f>
        <v/>
      </c>
      <c r="V19">
        <f>HYPERLINK("https://klasma.github.io/Logging_1864/klagomål/A 47044-2020 FSC-klagomål.docx", "A 47044-2020")</f>
        <v/>
      </c>
      <c r="W19">
        <f>HYPERLINK("https://klasma.github.io/Logging_1864/klagomålsmail/A 47044-2020 FSC-klagomål mail.docx", "A 47044-2020")</f>
        <v/>
      </c>
      <c r="X19">
        <f>HYPERLINK("https://klasma.github.io/Logging_1864/tillsyn/A 47044-2020 tillsynsbegäran.docx", "A 47044-2020")</f>
        <v/>
      </c>
      <c r="Y19">
        <f>HYPERLINK("https://klasma.github.io/Logging_1864/tillsynsmail/A 47044-2020 tillsynsbegäran mail.docx", "A 47044-2020")</f>
        <v/>
      </c>
    </row>
    <row r="20" ht="15" customHeight="1">
      <c r="A20" t="inlineStr">
        <is>
          <t>A 65215-2021</t>
        </is>
      </c>
      <c r="B20" s="1" t="n">
        <v>44515</v>
      </c>
      <c r="C20" s="1" t="n">
        <v>45639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HYPERLINK("https://klasma.github.io/Logging_1864/artfynd/A 65215-2021 artfynd.xlsx", "A 65215-2021")</f>
        <v/>
      </c>
      <c r="T20">
        <f>HYPERLINK("https://klasma.github.io/Logging_1864/kartor/A 65215-2021 karta.png", "A 65215-2021")</f>
        <v/>
      </c>
      <c r="V20">
        <f>HYPERLINK("https://klasma.github.io/Logging_1864/klagomål/A 65215-2021 FSC-klagomål.docx", "A 65215-2021")</f>
        <v/>
      </c>
      <c r="W20">
        <f>HYPERLINK("https://klasma.github.io/Logging_1864/klagomålsmail/A 65215-2021 FSC-klagomål mail.docx", "A 65215-2021")</f>
        <v/>
      </c>
      <c r="X20">
        <f>HYPERLINK("https://klasma.github.io/Logging_1864/tillsyn/A 65215-2021 tillsynsbegäran.docx", "A 65215-2021")</f>
        <v/>
      </c>
      <c r="Y20">
        <f>HYPERLINK("https://klasma.github.io/Logging_1864/tillsynsmail/A 65215-2021 tillsynsbegäran mail.docx", "A 65215-2021")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45639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45639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45639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45639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45639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45639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45639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45639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45639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45639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45639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45639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45639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45639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45639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45639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45639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45639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45639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45639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45639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45639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45639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45639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45639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45639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45639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45639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45639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45639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45639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45639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45639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45639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45639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45639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45639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45639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45639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45639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45639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45639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45639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45639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45639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45639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45639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45639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45639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45639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45639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45639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45639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45639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45639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45639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45639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45639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45639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45639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45639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45639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45639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45639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45639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45639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45639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45639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45639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45639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45639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45639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45639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45639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45639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45639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45639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45639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45639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45639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45639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45639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45639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45639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45639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45639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45639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45639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45639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45639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45639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45639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45639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45639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45639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45639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45639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45639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45639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45639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45639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45639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45639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45639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45639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45639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45639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45639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45639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45639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45639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45639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45639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45639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45639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45639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45639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45639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45639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45639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45639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45639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45639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45639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45639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45639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45639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45639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45639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45639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45639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45639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45639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45639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45639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45639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45639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45639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45639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45639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45639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45639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45639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45639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45639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45639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45639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45639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45639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45639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45639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45639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45639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45639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45639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45639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45639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45639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45639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45639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45639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45639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45639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45639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45639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45639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45639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45639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45639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45639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45639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45639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45639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45639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45639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45639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45639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45639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45639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45639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45639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45639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45639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45639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45639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45639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45639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45639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45639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45639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45639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45639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45639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45639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45639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45639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45639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45639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45639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45639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45639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45639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45639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45639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45639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45639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45639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45639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45639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45639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45639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45639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45639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45639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45639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45639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45639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45639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45639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45639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45639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45639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45639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45639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45639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45639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45639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45639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45639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45639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45639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45639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45639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45639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45639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45639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45639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45639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45639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45639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45639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45639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45639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45639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45639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45639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45639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45639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45639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45639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45639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45639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45639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45639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45639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45639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45639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45639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45639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45639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45639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45639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45639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45639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45639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45639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45639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45639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45639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45639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45639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45639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45639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45639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45639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45639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45639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45639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45639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45639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45639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45639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45639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45639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45639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45639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45639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45639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45639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45639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45639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45639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45639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45639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45639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45639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45639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45639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45639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45639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45639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45639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45639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45639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45639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45639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45639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45639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45639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45639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45639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45639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45639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45639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45639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45639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45639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45639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45639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45639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45639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45639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45639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45639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45639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45639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45639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45639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45639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45639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45639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45639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45639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45639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45639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45639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45639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45639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45639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45639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45639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45639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45639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45639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45639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45639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45639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53594-2024</t>
        </is>
      </c>
      <c r="B368" s="1" t="n">
        <v>45614</v>
      </c>
      <c r="C368" s="1" t="n">
        <v>45639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45639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45639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45639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53726-2024</t>
        </is>
      </c>
      <c r="B372" s="1" t="n">
        <v>45614</v>
      </c>
      <c r="C372" s="1" t="n">
        <v>45639</v>
      </c>
      <c r="D372" t="inlineStr">
        <is>
          <t>ÖREBRO LÄN</t>
        </is>
      </c>
      <c r="E372" t="inlineStr">
        <is>
          <t>LJUSNARSBERG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45639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45639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45639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45639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58103-2024</t>
        </is>
      </c>
      <c r="B377" s="1" t="n">
        <v>45632</v>
      </c>
      <c r="C377" s="1" t="n">
        <v>45639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59495-2024</t>
        </is>
      </c>
      <c r="B378" s="1" t="n">
        <v>45638</v>
      </c>
      <c r="C378" s="1" t="n">
        <v>45639</v>
      </c>
      <c r="D378" t="inlineStr">
        <is>
          <t>ÖREBRO LÄN</t>
        </is>
      </c>
      <c r="E378" t="inlineStr">
        <is>
          <t>LJUSNARSBERG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45639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59629-2024</t>
        </is>
      </c>
      <c r="B380" s="1" t="n">
        <v>45638</v>
      </c>
      <c r="C380" s="1" t="n">
        <v>45639</v>
      </c>
      <c r="D380" t="inlineStr">
        <is>
          <t>ÖREBRO LÄN</t>
        </is>
      </c>
      <c r="E380" t="inlineStr">
        <is>
          <t>LJUSNARSBERG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59627-2024</t>
        </is>
      </c>
      <c r="B381" s="1" t="n">
        <v>45638</v>
      </c>
      <c r="C381" s="1" t="n">
        <v>45639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59630-2024</t>
        </is>
      </c>
      <c r="B382" s="1" t="n">
        <v>45638</v>
      </c>
      <c r="C382" s="1" t="n">
        <v>45639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2024-12-13T15:28:31Z</dcterms:created>
  <dcterms:modified xmlns:dcterms="http://purl.org/dc/terms/" xmlns:xsi="http://www.w3.org/2001/XMLSchema-instance" xsi:type="dcterms:W3CDTF">2024-12-13T15:28:31Z</dcterms:modified>
</cp:coreProperties>
</file>