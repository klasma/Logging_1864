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46315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46315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46315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46315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46315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46315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46315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46315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46315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46315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46315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46315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46315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62105-2022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44920</v>
      </c>
      <c r="E15" s="1" t="n">
        <v>46315</v>
      </c>
      <c r="F15" t="inlineStr">
        <is>
          <t>ÖREBRO LÄN</t>
        </is>
      </c>
      <c r="G15" t="inlineStr">
        <is>
          <t>LJUSNARSBERG</t>
        </is>
      </c>
      <c r="I15" t="n">
        <v>5.7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7</v>
      </c>
      <c r="U15" t="n">
        <v>7</v>
      </c>
      <c r="V15" s="2" t="inlineStr">
        <is>
          <t>Spillkråka
Kungsfågel</t>
        </is>
      </c>
      <c r="W15">
        <f>HYPERLINK("https://klasma.github.io/Logging_1864/artfynd/A 62105-2022 artfynd.xlsx", "A 62105-2022")</f>
        <v/>
      </c>
      <c r="X15">
        <f>HYPERLINK("https://klasma.github.io/Logging_1864/kartor/A 62105-2022 karta.png", "A 62105-2022")</f>
        <v/>
      </c>
      <c r="Y15">
        <f>HYPERLINK("https://klasma.github.io/Logging_1864/kartor_geotiff/A 62105-2022 georefererad karta.tif", "A 62105-2022")</f>
        <v/>
      </c>
      <c r="AA15">
        <f>HYPERLINK("https://klasma.github.io/Logging_1864/klagomål/A 62105-2022 FSC-klagomål.docx", "A 62105-2022")</f>
        <v/>
      </c>
      <c r="AB15">
        <f>HYPERLINK("https://klasma.github.io/Logging_1864/klagomålsmail/A 62105-2022 FSC-klagomål mail.docx", "A 62105-2022")</f>
        <v/>
      </c>
      <c r="AC15">
        <f>HYPERLINK("https://klasma.github.io/Logging_1864/tillsyn/A 62105-2022 tillsynsbegäran.docx", "A 62105-2022")</f>
        <v/>
      </c>
      <c r="AD15">
        <f>HYPERLINK("https://klasma.github.io/Logging_1864/tillsynsmail/A 62105-2022 tillsynsbegäran mail.docx", "A 62105-2022")</f>
        <v/>
      </c>
      <c r="AE15">
        <f>HYPERLINK("https://klasma.github.io/Logging_1864/fåglar/A 62105-2022 prioriterade fågelarter.docx", "A 62105-2022")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46315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46315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45536-2024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45578</v>
      </c>
      <c r="E18" s="1" t="n">
        <v>46315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Tvåblad
Fläcknycklar</t>
        </is>
      </c>
      <c r="W18">
        <f>HYPERLINK("https://klasma.github.io/Logging_1864/artfynd/A 45536-2024 artfynd.xlsx", "A 45536-2024")</f>
        <v/>
      </c>
      <c r="X18">
        <f>HYPERLINK("https://klasma.github.io/Logging_1864/kartor/A 45536-2024 karta.png", "A 45536-2024")</f>
        <v/>
      </c>
      <c r="Y18">
        <f>HYPERLINK("https://klasma.github.io/Logging_1864/kartor_geotiff/A 45536-2024 georefererad karta.tif", "A 45536-2024")</f>
        <v/>
      </c>
      <c r="AA18">
        <f>HYPERLINK("https://klasma.github.io/Logging_1864/klagomål/A 45536-2024 FSC-klagomål.docx", "A 45536-2024")</f>
        <v/>
      </c>
      <c r="AB18">
        <f>HYPERLINK("https://klasma.github.io/Logging_1864/klagomålsmail/A 45536-2024 FSC-klagomål mail.docx", "A 45536-2024")</f>
        <v/>
      </c>
      <c r="AC18">
        <f>HYPERLINK("https://klasma.github.io/Logging_1864/tillsyn/A 45536-2024 tillsynsbegäran.docx", "A 45536-2024")</f>
        <v/>
      </c>
      <c r="AD18">
        <f>HYPERLINK("https://klasma.github.io/Logging_1864/tillsynsmail/A 45536-2024 tillsynsbegäran mail.docx", "A 45536-2024")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46315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46315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20797-2022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44701</v>
      </c>
      <c r="E21" s="1" t="n">
        <v>46315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HYPERLINK("https://klasma.github.io/Logging_1864/artfynd/A 20797-2022 artfynd.xlsx", "A 20797-2022")</f>
        <v/>
      </c>
      <c r="X21">
        <f>HYPERLINK("https://klasma.github.io/Logging_1864/kartor/A 20797-2022 karta.png", "A 20797-2022")</f>
        <v/>
      </c>
      <c r="Y21">
        <f>HYPERLINK("https://klasma.github.io/Logging_1864/kartor_geotiff/A 20797-2022 georefererad karta.tif", "A 20797-2022")</f>
        <v/>
      </c>
      <c r="AA21">
        <f>HYPERLINK("https://klasma.github.io/Logging_1864/klagomål/A 20797-2022 FSC-klagomål.docx", "A 20797-2022")</f>
        <v/>
      </c>
      <c r="AB21">
        <f>HYPERLINK("https://klasma.github.io/Logging_1864/klagomålsmail/A 20797-2022 FSC-klagomål mail.docx", "A 20797-2022")</f>
        <v/>
      </c>
      <c r="AC21">
        <f>HYPERLINK("https://klasma.github.io/Logging_1864/tillsyn/A 20797-2022 tillsynsbegäran.docx", "A 20797-2022")</f>
        <v/>
      </c>
      <c r="AD21">
        <f>HYPERLINK("https://klasma.github.io/Logging_1864/tillsynsmail/A 20797-2022 tillsynsbegäran mail.docx", "A 20797-2022")</f>
        <v/>
      </c>
    </row>
    <row r="22" ht="15" customHeight="1">
      <c r="A22" t="inlineStr">
        <is>
          <t>A 39514-2025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46315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Nattviol</t>
        </is>
      </c>
      <c r="W22">
        <f>HYPERLINK("https://klasma.github.io/Logging_1864/artfynd/A 39514-2025 artfynd.xlsx", "A 39514-2025")</f>
        <v/>
      </c>
      <c r="X22">
        <f>HYPERLINK("https://klasma.github.io/Logging_1864/kartor/A 39514-2025 karta.png", "A 39514-2025")</f>
        <v/>
      </c>
      <c r="Y22">
        <f>HYPERLINK("https://klasma.github.io/Logging_1864/kartor_geotiff/A 39514-2025 georefererad karta.tif", "A 39514-2025")</f>
        <v/>
      </c>
      <c r="AA22">
        <f>HYPERLINK("https://klasma.github.io/Logging_1864/klagomål/A 39514-2025 FSC-klagomål.docx", "A 39514-2025")</f>
        <v/>
      </c>
      <c r="AB22">
        <f>HYPERLINK("https://klasma.github.io/Logging_1864/klagomålsmail/A 39514-2025 FSC-klagomål mail.docx", "A 39514-2025")</f>
        <v/>
      </c>
      <c r="AC22">
        <f>HYPERLINK("https://klasma.github.io/Logging_1864/tillsyn/A 39514-2025 tillsynsbegäran.docx", "A 39514-2025")</f>
        <v/>
      </c>
      <c r="AD22">
        <f>HYPERLINK("https://klasma.github.io/Logging_1864/tillsynsmail/A 39514-2025 tillsynsbegäran mail.docx", "A 39514-2025")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46315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18857-2026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46315</v>
      </c>
      <c r="F24" t="inlineStr">
        <is>
          <t>ÖREBRO LÄN</t>
        </is>
      </c>
      <c r="G24" t="inlineStr">
        <is>
          <t>LJUSNARSBERG</t>
        </is>
      </c>
      <c r="I24" t="n">
        <v>5.1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Trana</t>
        </is>
      </c>
      <c r="W24">
        <f>HYPERLINK("https://klasma.github.io/Logging_1864/artfynd/A 18857-2026 artfynd.xlsx", "A 18857-2026")</f>
        <v/>
      </c>
      <c r="X24">
        <f>HYPERLINK("https://klasma.github.io/Logging_1864/kartor/A 18857-2026 karta.png", "A 18857-2026")</f>
        <v/>
      </c>
      <c r="Y24">
        <f>HYPERLINK("https://klasma.github.io/Logging_1864/kartor_geotiff/A 18857-2026 georefererad karta.tif", "A 18857-2026")</f>
        <v/>
      </c>
      <c r="AA24">
        <f>HYPERLINK("https://klasma.github.io/Logging_1864/klagomål/A 18857-2026 FSC-klagomål.docx", "A 18857-2026")</f>
        <v/>
      </c>
      <c r="AB24">
        <f>HYPERLINK("https://klasma.github.io/Logging_1864/klagomålsmail/A 18857-2026 FSC-klagomål mail.docx", "A 18857-2026")</f>
        <v/>
      </c>
      <c r="AC24">
        <f>HYPERLINK("https://klasma.github.io/Logging_1864/tillsyn/A 18857-2026 tillsynsbegäran.docx", "A 18857-2026")</f>
        <v/>
      </c>
      <c r="AD24">
        <f>HYPERLINK("https://klasma.github.io/Logging_1864/tillsynsmail/A 18857-2026 tillsynsbegäran mail.docx", "A 18857-2026")</f>
        <v/>
      </c>
      <c r="AE24">
        <f>HYPERLINK("https://klasma.github.io/Logging_1864/fåglar/A 18857-2026 prioriterade fågelarter.docx", "A 18857-2026")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46315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24348-2026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46315</v>
      </c>
      <c r="F26" t="inlineStr">
        <is>
          <t>ÖREBRO LÄN</t>
        </is>
      </c>
      <c r="G26" t="inlineStr">
        <is>
          <t>LJUSNARSBERG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HYPERLINK("https://klasma.github.io/Logging_1864/artfynd/A 24348-2026 artfynd.xlsx", "A 24348-2026")</f>
        <v/>
      </c>
      <c r="X26">
        <f>HYPERLINK("https://klasma.github.io/Logging_1864/kartor/A 24348-2026 karta.png", "A 24348-2026")</f>
        <v/>
      </c>
      <c r="Y26">
        <f>HYPERLINK("https://klasma.github.io/Logging_1864/kartor_geotiff/A 24348-2026 georefererad karta.tif", "A 24348-2026")</f>
        <v/>
      </c>
      <c r="AA26">
        <f>HYPERLINK("https://klasma.github.io/Logging_1864/klagomål/A 24348-2026 FSC-klagomål.docx", "A 24348-2026")</f>
        <v/>
      </c>
      <c r="AB26">
        <f>HYPERLINK("https://klasma.github.io/Logging_1864/klagomålsmail/A 24348-2026 FSC-klagomål mail.docx", "A 24348-2026")</f>
        <v/>
      </c>
      <c r="AC26">
        <f>HYPERLINK("https://klasma.github.io/Logging_1864/tillsyn/A 24348-2026 tillsynsbegäran.docx", "A 24348-2026")</f>
        <v/>
      </c>
      <c r="AD26">
        <f>HYPERLINK("https://klasma.github.io/Logging_1864/tillsynsmail/A 24348-2026 tillsynsbegäran mail.docx", "A 24348-2026")</f>
        <v/>
      </c>
      <c r="AE26">
        <f>HYPERLINK("https://klasma.github.io/Logging_1864/fåglar/A 24348-2026 prioriterade fågelarter.docx", "A 24348-2026")</f>
        <v/>
      </c>
    </row>
    <row r="27" ht="15" customHeight="1">
      <c r="A27" t="inlineStr">
        <is>
          <t>A 39095-2022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44817</v>
      </c>
      <c r="E27" s="1" t="n">
        <v>46315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HYPERLINK("https://klasma.github.io/Logging_1864/artfynd/A 39095-2022 artfynd.xlsx", "A 39095-2022")</f>
        <v/>
      </c>
      <c r="X27">
        <f>HYPERLINK("https://klasma.github.io/Logging_1864/kartor/A 39095-2022 karta.png", "A 39095-2022")</f>
        <v/>
      </c>
      <c r="Y27">
        <f>HYPERLINK("https://klasma.github.io/Logging_1864/kartor_geotiff/A 39095-2022 georefererad karta.tif", "A 39095-2022")</f>
        <v/>
      </c>
      <c r="AA27">
        <f>HYPERLINK("https://klasma.github.io/Logging_1864/klagomål/A 39095-2022 FSC-klagomål.docx", "A 39095-2022")</f>
        <v/>
      </c>
      <c r="AB27">
        <f>HYPERLINK("https://klasma.github.io/Logging_1864/klagomålsmail/A 39095-2022 FSC-klagomål mail.docx", "A 39095-2022")</f>
        <v/>
      </c>
      <c r="AC27">
        <f>HYPERLINK("https://klasma.github.io/Logging_1864/tillsyn/A 39095-2022 tillsynsbegäran.docx", "A 39095-2022")</f>
        <v/>
      </c>
      <c r="AD27">
        <f>HYPERLINK("https://klasma.github.io/Logging_1864/tillsynsmail/A 39095-2022 tillsynsbegäran mail.docx", "A 39095-2022")</f>
        <v/>
      </c>
    </row>
    <row r="28" ht="15" customHeight="1">
      <c r="A28" t="inlineStr">
        <is>
          <t>A 45537-2024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45578</v>
      </c>
      <c r="E28" s="1" t="n">
        <v>46315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HYPERLINK("https://klasma.github.io/Logging_1864/artfynd/A 45537-2024 artfynd.xlsx", "A 45537-2024")</f>
        <v/>
      </c>
      <c r="X28">
        <f>HYPERLINK("https://klasma.github.io/Logging_1864/kartor/A 45537-2024 karta.png", "A 45537-2024")</f>
        <v/>
      </c>
      <c r="Y28">
        <f>HYPERLINK("https://klasma.github.io/Logging_1864/kartor_geotiff/A 45537-2024 georefererad karta.tif", "A 45537-2024")</f>
        <v/>
      </c>
      <c r="AA28">
        <f>HYPERLINK("https://klasma.github.io/Logging_1864/klagomål/A 45537-2024 FSC-klagomål.docx", "A 45537-2024")</f>
        <v/>
      </c>
      <c r="AB28">
        <f>HYPERLINK("https://klasma.github.io/Logging_1864/klagomålsmail/A 45537-2024 FSC-klagomål mail.docx", "A 45537-2024")</f>
        <v/>
      </c>
      <c r="AC28">
        <f>HYPERLINK("https://klasma.github.io/Logging_1864/tillsyn/A 45537-2024 tillsynsbegäran.docx", "A 45537-2024")</f>
        <v/>
      </c>
      <c r="AD28">
        <f>HYPERLINK("https://klasma.github.io/Logging_1864/tillsynsmail/A 45537-2024 tillsynsbegäran mail.docx", "A 45537-2024")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46315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46315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46315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46315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46315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46315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46315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46315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46315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46315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44790</v>
      </c>
      <c r="E39" s="1" t="n">
        <v>46315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46315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46315</v>
      </c>
      <c r="F41" t="inlineStr">
        <is>
          <t>ÖREBRO LÄN</t>
        </is>
      </c>
      <c r="G41" t="inlineStr">
        <is>
          <t>LJUSNARSBERG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48353-2022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46315</v>
      </c>
      <c r="F42" t="inlineStr">
        <is>
          <t>ÖREBRO LÄN</t>
        </is>
      </c>
      <c r="G42" t="inlineStr">
        <is>
          <t>LJUSNARSBERG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13803-2024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45390</v>
      </c>
      <c r="E43" s="1" t="n">
        <v>46315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17.8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46315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44780-2024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45574</v>
      </c>
      <c r="E45" s="1" t="n">
        <v>46315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30774-2023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46315</v>
      </c>
      <c r="F46" t="inlineStr">
        <is>
          <t>ÖREBRO LÄN</t>
        </is>
      </c>
      <c r="G46" t="inlineStr">
        <is>
          <t>LJUSNARSBERG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7499-2024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45347</v>
      </c>
      <c r="E47" s="1" t="n">
        <v>46315</v>
      </c>
      <c r="F47" t="inlineStr">
        <is>
          <t>ÖREBRO LÄN</t>
        </is>
      </c>
      <c r="G47" t="inlineStr">
        <is>
          <t>LJUSNARSBERG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46315</v>
      </c>
      <c r="F48" t="inlineStr">
        <is>
          <t>ÖREBRO LÄN</t>
        </is>
      </c>
      <c r="G48" t="inlineStr">
        <is>
          <t>LJUSNARSBERG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46315</v>
      </c>
      <c r="F49" t="inlineStr">
        <is>
          <t>ÖREBRO LÄN</t>
        </is>
      </c>
      <c r="G49" t="inlineStr">
        <is>
          <t>LJUSNARSBERG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45124</v>
      </c>
      <c r="E50" s="1" t="n">
        <v>46315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45124</v>
      </c>
      <c r="E51" s="1" t="n">
        <v>46315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53789-2022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44880</v>
      </c>
      <c r="E52" s="1" t="n">
        <v>46315</v>
      </c>
      <c r="F52" t="inlineStr">
        <is>
          <t>ÖREBRO LÄN</t>
        </is>
      </c>
      <c r="G52" t="inlineStr">
        <is>
          <t>LJUSNARSBERG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59497-2024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45638</v>
      </c>
      <c r="E53" s="1" t="n">
        <v>46315</v>
      </c>
      <c r="F53" t="inlineStr">
        <is>
          <t>ÖREBRO LÄN</t>
        </is>
      </c>
      <c r="G53" t="inlineStr">
        <is>
          <t>LJUSNARSBERG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22887-2024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45448</v>
      </c>
      <c r="E54" s="1" t="n">
        <v>46315</v>
      </c>
      <c r="F54" t="inlineStr">
        <is>
          <t>ÖREBRO LÄN</t>
        </is>
      </c>
      <c r="G54" t="inlineStr">
        <is>
          <t>LJUSNARSBERG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12482-2023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44999</v>
      </c>
      <c r="E55" s="1" t="n">
        <v>46315</v>
      </c>
      <c r="F55" t="inlineStr">
        <is>
          <t>ÖREBRO LÄN</t>
        </is>
      </c>
      <c r="G55" t="inlineStr">
        <is>
          <t>LJUSNARSBERG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37148-2023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46315</v>
      </c>
      <c r="F56" t="inlineStr">
        <is>
          <t>ÖREBRO LÄN</t>
        </is>
      </c>
      <c r="G56" t="inlineStr">
        <is>
          <t>LJUSNARSBERG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45538-2024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45578</v>
      </c>
      <c r="E57" s="1" t="n">
        <v>46315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44760-2024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45574</v>
      </c>
      <c r="E58" s="1" t="n">
        <v>46315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11.4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44983-2024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45575</v>
      </c>
      <c r="E59" s="1" t="n">
        <v>46315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44939</v>
      </c>
      <c r="E60" s="1" t="n">
        <v>46315</v>
      </c>
      <c r="F60" t="inlineStr">
        <is>
          <t>ÖREBRO LÄN</t>
        </is>
      </c>
      <c r="G60" t="inlineStr">
        <is>
          <t>LJUSNARSBERG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46805-2024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45583</v>
      </c>
      <c r="E61" s="1" t="n">
        <v>46315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25574-2023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45089</v>
      </c>
      <c r="E62" s="1" t="n">
        <v>46315</v>
      </c>
      <c r="F62" t="inlineStr">
        <is>
          <t>ÖREBRO LÄN</t>
        </is>
      </c>
      <c r="G62" t="inlineStr">
        <is>
          <t>LJUSNARSBERG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44903</v>
      </c>
      <c r="E63" s="1" t="n">
        <v>46315</v>
      </c>
      <c r="F63" t="inlineStr">
        <is>
          <t>ÖREBRO LÄN</t>
        </is>
      </c>
      <c r="G63" t="inlineStr">
        <is>
          <t>LJUSNARSBERG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24921-2023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46315</v>
      </c>
      <c r="F64" t="inlineStr">
        <is>
          <t>ÖREBRO LÄN</t>
        </is>
      </c>
      <c r="G64" t="inlineStr">
        <is>
          <t>LJUSNARSBERG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18938-2022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44690</v>
      </c>
      <c r="E65" s="1" t="n">
        <v>46315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27343-2025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45812</v>
      </c>
      <c r="E66" s="1" t="n">
        <v>46315</v>
      </c>
      <c r="F66" t="inlineStr">
        <is>
          <t>ÖREBRO LÄN</t>
        </is>
      </c>
      <c r="G66" t="inlineStr">
        <is>
          <t>LJUSNARSBERG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46315</v>
      </c>
      <c r="F67" t="inlineStr">
        <is>
          <t>ÖREBRO LÄN</t>
        </is>
      </c>
      <c r="G67" t="inlineStr">
        <is>
          <t>LJUSNARSBERG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46085-2024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45581</v>
      </c>
      <c r="E68" s="1" t="n">
        <v>46315</v>
      </c>
      <c r="F68" t="inlineStr">
        <is>
          <t>ÖREBRO LÄN</t>
        </is>
      </c>
      <c r="G68" t="inlineStr">
        <is>
          <t>LJUSNARSBERG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19368-2025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45769</v>
      </c>
      <c r="E69" s="1" t="n">
        <v>46315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59627-2024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45638</v>
      </c>
      <c r="E70" s="1" t="n">
        <v>46315</v>
      </c>
      <c r="F70" t="inlineStr">
        <is>
          <t>ÖREBRO LÄN</t>
        </is>
      </c>
      <c r="G70" t="inlineStr">
        <is>
          <t>LJUSNARSBERG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59630-2024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45638</v>
      </c>
      <c r="E71" s="1" t="n">
        <v>46315</v>
      </c>
      <c r="F71" t="inlineStr">
        <is>
          <t>ÖREBRO LÄN</t>
        </is>
      </c>
      <c r="G71" t="inlineStr">
        <is>
          <t>LJUSNARSBERG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44720</v>
      </c>
      <c r="E72" s="1" t="n">
        <v>46315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17933-2024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46315</v>
      </c>
      <c r="F73" t="inlineStr">
        <is>
          <t>ÖREBRO LÄN</t>
        </is>
      </c>
      <c r="G73" t="inlineStr">
        <is>
          <t>LJUSNARSBERG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46315</v>
      </c>
      <c r="F74" t="inlineStr">
        <is>
          <t>ÖREBRO LÄN</t>
        </is>
      </c>
      <c r="G74" t="inlineStr">
        <is>
          <t>LJUSNARSBERG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36108-2024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46315</v>
      </c>
      <c r="F75" t="inlineStr">
        <is>
          <t>ÖREBRO LÄN</t>
        </is>
      </c>
      <c r="G75" t="inlineStr">
        <is>
          <t>LJUSNARSBERG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23372-2022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44720</v>
      </c>
      <c r="E76" s="1" t="n">
        <v>46315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29595-2025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46315</v>
      </c>
      <c r="F77" t="inlineStr">
        <is>
          <t>ÖREBRO LÄN</t>
        </is>
      </c>
      <c r="G77" t="inlineStr">
        <is>
          <t>LJUSNARSBERG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40477-2025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46315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44734</v>
      </c>
      <c r="E79" s="1" t="n">
        <v>46315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40477-2025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45895</v>
      </c>
      <c r="E80" s="1" t="n">
        <v>46315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46315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8.699999999999999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41032-2025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46315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46315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46315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46315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41420-2025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46315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40964-2025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46315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45903</v>
      </c>
      <c r="E88" s="1" t="n">
        <v>46315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45911</v>
      </c>
      <c r="E89" s="1" t="n">
        <v>46315</v>
      </c>
      <c r="F89" t="inlineStr">
        <is>
          <t>ÖREBRO LÄN</t>
        </is>
      </c>
      <c r="G89" t="inlineStr">
        <is>
          <t>LJUSNARSBERG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43078-2025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45909</v>
      </c>
      <c r="E90" s="1" t="n">
        <v>46315</v>
      </c>
      <c r="F90" t="inlineStr">
        <is>
          <t>ÖREBRO LÄN</t>
        </is>
      </c>
      <c r="G90" t="inlineStr">
        <is>
          <t>LJUSNARSBERG</t>
        </is>
      </c>
      <c r="I90" t="n">
        <v>17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46315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44565</v>
      </c>
      <c r="E92" s="1" t="n">
        <v>46315</v>
      </c>
      <c r="F92" t="inlineStr">
        <is>
          <t>ÖREBRO LÄN</t>
        </is>
      </c>
      <c r="G92" t="inlineStr">
        <is>
          <t>LJUSNARSBERG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46492-2025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45925</v>
      </c>
      <c r="E93" s="1" t="n">
        <v>46315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41610-2025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45901</v>
      </c>
      <c r="E94" s="1" t="n">
        <v>46315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52489-2022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46315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46315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46315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30414-2023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45111</v>
      </c>
      <c r="E98" s="1" t="n">
        <v>46315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46315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45933</v>
      </c>
      <c r="E100" s="1" t="n">
        <v>46315</v>
      </c>
      <c r="F100" t="inlineStr">
        <is>
          <t>ÖREBRO LÄN</t>
        </is>
      </c>
      <c r="G100" t="inlineStr">
        <is>
          <t>LJUSNARSBERG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46315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46146</v>
      </c>
      <c r="E102" s="1" t="n">
        <v>46315</v>
      </c>
      <c r="F102" t="inlineStr">
        <is>
          <t>ÖREBRO LÄN</t>
        </is>
      </c>
      <c r="G102" t="inlineStr">
        <is>
          <t>LJUSNARSBERG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21202-2026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46146</v>
      </c>
      <c r="E103" s="1" t="n">
        <v>46315</v>
      </c>
      <c r="F103" t="inlineStr">
        <is>
          <t>ÖREBRO LÄN</t>
        </is>
      </c>
      <c r="G103" t="inlineStr">
        <is>
          <t>LJUSNARSBERG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62667-2022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46315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50865-2025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45946</v>
      </c>
      <c r="E105" s="1" t="n">
        <v>46315</v>
      </c>
      <c r="F105" t="inlineStr">
        <is>
          <t>ÖREBRO LÄN</t>
        </is>
      </c>
      <c r="G105" t="inlineStr">
        <is>
          <t>LJUSNARSBERG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45086</v>
      </c>
      <c r="E106" s="1" t="n">
        <v>46315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46315</v>
      </c>
      <c r="F107" t="inlineStr">
        <is>
          <t>ÖREBRO LÄN</t>
        </is>
      </c>
      <c r="G107" t="inlineStr">
        <is>
          <t>LJUSNARSBERG</t>
        </is>
      </c>
      <c r="I107" t="n">
        <v>10.8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47017-2025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45929</v>
      </c>
      <c r="E108" s="1" t="n">
        <v>46315</v>
      </c>
      <c r="F108" t="inlineStr">
        <is>
          <t>ÖREBRO LÄN</t>
        </is>
      </c>
      <c r="G108" t="inlineStr">
        <is>
          <t>LJUSNARSBERG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14500-2024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45394</v>
      </c>
      <c r="E109" s="1" t="n">
        <v>46315</v>
      </c>
      <c r="F109" t="inlineStr">
        <is>
          <t>ÖREBRO LÄN</t>
        </is>
      </c>
      <c r="G109" t="inlineStr">
        <is>
          <t>LJUSNARSBERG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22366-2026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46154</v>
      </c>
      <c r="E110" s="1" t="n">
        <v>46315</v>
      </c>
      <c r="F110" t="inlineStr">
        <is>
          <t>ÖREBRO LÄN</t>
        </is>
      </c>
      <c r="G110" t="inlineStr">
        <is>
          <t>LJUSNARSBERG</t>
        </is>
      </c>
      <c r="I110" t="n">
        <v>14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32880-2025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45839</v>
      </c>
      <c r="E111" s="1" t="n">
        <v>46315</v>
      </c>
      <c r="F111" t="inlineStr">
        <is>
          <t>ÖREBRO LÄN</t>
        </is>
      </c>
      <c r="G111" t="inlineStr">
        <is>
          <t>LJUSNARSBERG</t>
        </is>
      </c>
      <c r="H111" t="inlineStr">
        <is>
          <t>Kommuner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53595-2024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45614</v>
      </c>
      <c r="E112" s="1" t="n">
        <v>46315</v>
      </c>
      <c r="F112" t="inlineStr">
        <is>
          <t>ÖREBRO LÄN</t>
        </is>
      </c>
      <c r="G112" t="inlineStr">
        <is>
          <t>LJUSNARSBERG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67746-2021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44524</v>
      </c>
      <c r="E113" s="1" t="n">
        <v>46315</v>
      </c>
      <c r="F113" t="inlineStr">
        <is>
          <t>ÖREBRO LÄN</t>
        </is>
      </c>
      <c r="G113" t="inlineStr">
        <is>
          <t>LJUSNARSBERG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46315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46315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45581</v>
      </c>
      <c r="E116" s="1" t="n">
        <v>46315</v>
      </c>
      <c r="F116" t="inlineStr">
        <is>
          <t>ÖREBRO LÄN</t>
        </is>
      </c>
      <c r="G116" t="inlineStr">
        <is>
          <t>LJUSNARSBERG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44564</v>
      </c>
      <c r="E117" s="1" t="n">
        <v>46315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23633-2026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46163</v>
      </c>
      <c r="E118" s="1" t="n">
        <v>46315</v>
      </c>
      <c r="F118" t="inlineStr">
        <is>
          <t>ÖREBRO LÄN</t>
        </is>
      </c>
      <c r="G118" t="inlineStr">
        <is>
          <t>LJUSNARSBERG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46167</v>
      </c>
      <c r="E119" s="1" t="n">
        <v>46315</v>
      </c>
      <c r="F119" t="inlineStr">
        <is>
          <t>ÖREBRO LÄN</t>
        </is>
      </c>
      <c r="G119" t="inlineStr">
        <is>
          <t>LJUSNARSBERG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46315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24343-2026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46167</v>
      </c>
      <c r="E121" s="1" t="n">
        <v>46315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45583</v>
      </c>
      <c r="E122" s="1" t="n">
        <v>46315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24350-2026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46167</v>
      </c>
      <c r="E123" s="1" t="n">
        <v>46315</v>
      </c>
      <c r="F123" t="inlineStr">
        <is>
          <t>ÖREBRO LÄN</t>
        </is>
      </c>
      <c r="G123" t="inlineStr">
        <is>
          <t>LJUSNARSBERG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25671-2024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45463</v>
      </c>
      <c r="E124" s="1" t="n">
        <v>46315</v>
      </c>
      <c r="F124" t="inlineStr">
        <is>
          <t>ÖREBRO LÄN</t>
        </is>
      </c>
      <c r="G124" t="inlineStr">
        <is>
          <t>LJUSNARSBERG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46315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46315</v>
      </c>
      <c r="F126" t="inlineStr">
        <is>
          <t>ÖREBRO LÄN</t>
        </is>
      </c>
      <c r="G126" t="inlineStr">
        <is>
          <t>LJUSNARSBERG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46315</v>
      </c>
      <c r="F127" t="inlineStr">
        <is>
          <t>ÖREBRO LÄN</t>
        </is>
      </c>
      <c r="G127" t="inlineStr">
        <is>
          <t>LJUSNARSBERG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45649</v>
      </c>
      <c r="E128" s="1" t="n">
        <v>46315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31295-2023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46315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52366-2024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45608</v>
      </c>
      <c r="E130" s="1" t="n">
        <v>46315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19857-2022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44694</v>
      </c>
      <c r="E131" s="1" t="n">
        <v>46315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33976-2023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45124</v>
      </c>
      <c r="E132" s="1" t="n">
        <v>46315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6.7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26379-2026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46183</v>
      </c>
      <c r="E133" s="1" t="n">
        <v>46315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26847-2026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46185</v>
      </c>
      <c r="E134" s="1" t="n">
        <v>46315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45239</v>
      </c>
      <c r="E135" s="1" t="n">
        <v>46315</v>
      </c>
      <c r="F135" t="inlineStr">
        <is>
          <t>ÖREBRO LÄN</t>
        </is>
      </c>
      <c r="G135" t="inlineStr">
        <is>
          <t>LJUSNARSBERG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44790</v>
      </c>
      <c r="E136" s="1" t="n">
        <v>46315</v>
      </c>
      <c r="F136" t="inlineStr">
        <is>
          <t>ÖREBRO LÄN</t>
        </is>
      </c>
      <c r="G136" t="inlineStr">
        <is>
          <t>LJUSNARSBERG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37066-2023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45155</v>
      </c>
      <c r="E137" s="1" t="n">
        <v>46315</v>
      </c>
      <c r="F137" t="inlineStr">
        <is>
          <t>ÖREBRO LÄN</t>
        </is>
      </c>
      <c r="G137" t="inlineStr">
        <is>
          <t>LJUSNARSBERG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44999</v>
      </c>
      <c r="E138" s="1" t="n">
        <v>46315</v>
      </c>
      <c r="F138" t="inlineStr">
        <is>
          <t>ÖREBRO LÄN</t>
        </is>
      </c>
      <c r="G138" t="inlineStr">
        <is>
          <t>LJUSNARSBERG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45399</v>
      </c>
      <c r="E139" s="1" t="n">
        <v>46315</v>
      </c>
      <c r="F139" t="inlineStr">
        <is>
          <t>ÖREBRO LÄN</t>
        </is>
      </c>
      <c r="G139" t="inlineStr">
        <is>
          <t>LJUSNARSBERG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46146-2022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44847</v>
      </c>
      <c r="E140" s="1" t="n">
        <v>46315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7903-2022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44607</v>
      </c>
      <c r="E141" s="1" t="n">
        <v>46315</v>
      </c>
      <c r="F141" t="inlineStr">
        <is>
          <t>ÖREBRO LÄN</t>
        </is>
      </c>
      <c r="G141" t="inlineStr">
        <is>
          <t>LJUSNARSBERG</t>
        </is>
      </c>
      <c r="H141" t="inlineStr">
        <is>
          <t>Kyrkan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62843-2021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46315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42761-2023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45177</v>
      </c>
      <c r="E143" s="1" t="n">
        <v>46315</v>
      </c>
      <c r="F143" t="inlineStr">
        <is>
          <t>ÖREBRO LÄN</t>
        </is>
      </c>
      <c r="G143" t="inlineStr">
        <is>
          <t>LJUSNARSBERG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46133</v>
      </c>
      <c r="E144" s="1" t="n">
        <v>46315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46315</v>
      </c>
      <c r="F145" t="inlineStr">
        <is>
          <t>ÖREBRO LÄN</t>
        </is>
      </c>
      <c r="G145" t="inlineStr">
        <is>
          <t>LJUSNARSBERG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44895</v>
      </c>
      <c r="E146" s="1" t="n">
        <v>46315</v>
      </c>
      <c r="F146" t="inlineStr">
        <is>
          <t>ÖREBRO LÄN</t>
        </is>
      </c>
      <c r="G146" t="inlineStr">
        <is>
          <t>LJUSNARSBERG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48582-2025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46315</v>
      </c>
      <c r="F147" t="inlineStr">
        <is>
          <t>ÖREBRO LÄN</t>
        </is>
      </c>
      <c r="G147" t="inlineStr">
        <is>
          <t>LJUSNARSBERG</t>
        </is>
      </c>
      <c r="H147" t="inlineStr">
        <is>
          <t>Sveaskog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17276-2023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45035</v>
      </c>
      <c r="E148" s="1" t="n">
        <v>46315</v>
      </c>
      <c r="F148" t="inlineStr">
        <is>
          <t>ÖREBRO LÄN</t>
        </is>
      </c>
      <c r="G148" t="inlineStr">
        <is>
          <t>LJUSNARSBERG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24319-2026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46315</v>
      </c>
      <c r="F149" t="inlineStr">
        <is>
          <t>ÖREBRO LÄN</t>
        </is>
      </c>
      <c r="G149" t="inlineStr">
        <is>
          <t>LJUSNARSBERG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35151-2023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46315</v>
      </c>
      <c r="F150" t="inlineStr">
        <is>
          <t>ÖREBRO LÄN</t>
        </is>
      </c>
      <c r="G150" t="inlineStr">
        <is>
          <t>LJUSNARSBERG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44916</v>
      </c>
      <c r="E151" s="1" t="n">
        <v>46315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46315</v>
      </c>
      <c r="F152" t="inlineStr">
        <is>
          <t>ÖREBRO LÄN</t>
        </is>
      </c>
      <c r="G152" t="inlineStr">
        <is>
          <t>LJUSNARSBERG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45030</v>
      </c>
      <c r="E153" s="1" t="n">
        <v>46315</v>
      </c>
      <c r="F153" t="inlineStr">
        <is>
          <t>ÖREBRO LÄN</t>
        </is>
      </c>
      <c r="G153" t="inlineStr">
        <is>
          <t>LJUSNARSBERG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37866-2026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46279</v>
      </c>
      <c r="E154" s="1" t="n">
        <v>46315</v>
      </c>
      <c r="F154" t="inlineStr">
        <is>
          <t>ÖREBRO LÄN</t>
        </is>
      </c>
      <c r="G154" t="inlineStr">
        <is>
          <t>LJUSNARSBERG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38378-2026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46282</v>
      </c>
      <c r="E155" s="1" t="n">
        <v>46315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46281</v>
      </c>
      <c r="E156" s="1" t="n">
        <v>46315</v>
      </c>
      <c r="F156" t="inlineStr">
        <is>
          <t>ÖREBRO LÄN</t>
        </is>
      </c>
      <c r="G156" t="inlineStr">
        <is>
          <t>LJUSNARSBERG</t>
        </is>
      </c>
      <c r="H156" t="inlineStr">
        <is>
          <t>Kyrkan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45578</v>
      </c>
      <c r="E157" s="1" t="n">
        <v>46315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29436-2023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45106</v>
      </c>
      <c r="E158" s="1" t="n">
        <v>46315</v>
      </c>
      <c r="F158" t="inlineStr">
        <is>
          <t>ÖREBRO LÄN</t>
        </is>
      </c>
      <c r="G158" t="inlineStr">
        <is>
          <t>LJUSNARSBERG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33245-2026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46246</v>
      </c>
      <c r="E159" s="1" t="n">
        <v>46315</v>
      </c>
      <c r="F159" t="inlineStr">
        <is>
          <t>ÖREBRO LÄN</t>
        </is>
      </c>
      <c r="G159" t="inlineStr">
        <is>
          <t>LJUSNARSBERG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46315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33488-2026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46247</v>
      </c>
      <c r="E161" s="1" t="n">
        <v>46315</v>
      </c>
      <c r="F161" t="inlineStr">
        <is>
          <t>ÖREBRO LÄN</t>
        </is>
      </c>
      <c r="G161" t="inlineStr">
        <is>
          <t>LJUSNARSBERG</t>
        </is>
      </c>
      <c r="H161" t="inlineStr">
        <is>
          <t>Kyrkan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46290</v>
      </c>
      <c r="E162" s="1" t="n">
        <v>46315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18932-2022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44690</v>
      </c>
      <c r="E163" s="1" t="n">
        <v>46315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40443-2026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46294</v>
      </c>
      <c r="E164" s="1" t="n">
        <v>46315</v>
      </c>
      <c r="F164" t="inlineStr">
        <is>
          <t>ÖREBRO LÄN</t>
        </is>
      </c>
      <c r="G164" t="inlineStr">
        <is>
          <t>LJUSNARSBERG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59495-2024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45638</v>
      </c>
      <c r="E165" s="1" t="n">
        <v>46315</v>
      </c>
      <c r="F165" t="inlineStr">
        <is>
          <t>ÖREBRO LÄN</t>
        </is>
      </c>
      <c r="G165" t="inlineStr">
        <is>
          <t>LJUSNARSBERG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62810-2021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46315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33753-2026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46251</v>
      </c>
      <c r="E167" s="1" t="n">
        <v>46315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45103</v>
      </c>
      <c r="E168" s="1" t="n">
        <v>46315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10.4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28778-2024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45478</v>
      </c>
      <c r="E169" s="1" t="n">
        <v>46315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45387</v>
      </c>
      <c r="E170" s="1" t="n">
        <v>46315</v>
      </c>
      <c r="F170" t="inlineStr">
        <is>
          <t>ÖREBRO LÄN</t>
        </is>
      </c>
      <c r="G170" t="inlineStr">
        <is>
          <t>LJUSNARSBERG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45698</v>
      </c>
      <c r="E171" s="1" t="n">
        <v>46315</v>
      </c>
      <c r="F171" t="inlineStr">
        <is>
          <t>ÖREBRO LÄN</t>
        </is>
      </c>
      <c r="G171" t="inlineStr">
        <is>
          <t>LJUSNARSBERG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48780-2024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45593</v>
      </c>
      <c r="E172" s="1" t="n">
        <v>46315</v>
      </c>
      <c r="F172" t="inlineStr">
        <is>
          <t>ÖREBRO LÄN</t>
        </is>
      </c>
      <c r="G172" t="inlineStr">
        <is>
          <t>LJUSNARSBERG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46301</v>
      </c>
      <c r="E173" s="1" t="n">
        <v>46315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41491-2026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46300</v>
      </c>
      <c r="E174" s="1" t="n">
        <v>46315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46300</v>
      </c>
      <c r="E175" s="1" t="n">
        <v>46315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46315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34926-2023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45142</v>
      </c>
      <c r="E177" s="1" t="n">
        <v>46315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46300</v>
      </c>
      <c r="E178" s="1" t="n">
        <v>46315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41471-2026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46300</v>
      </c>
      <c r="E179" s="1" t="n">
        <v>46315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44956</v>
      </c>
      <c r="E180" s="1" t="n">
        <v>46315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46301</v>
      </c>
      <c r="E181" s="1" t="n">
        <v>46315</v>
      </c>
      <c r="F181" t="inlineStr">
        <is>
          <t>ÖREBRO LÄN</t>
        </is>
      </c>
      <c r="G181" t="inlineStr">
        <is>
          <t>LJUSNARSBERG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46315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41489-2026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46300</v>
      </c>
      <c r="E183" s="1" t="n">
        <v>46315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41490-2026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46300</v>
      </c>
      <c r="E184" s="1" t="n">
        <v>46315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45807</v>
      </c>
      <c r="E185" s="1" t="n">
        <v>46315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20673-2025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45776</v>
      </c>
      <c r="E186" s="1" t="n">
        <v>46315</v>
      </c>
      <c r="F186" t="inlineStr">
        <is>
          <t>ÖREBRO LÄN</t>
        </is>
      </c>
      <c r="G186" t="inlineStr">
        <is>
          <t>LJUSNARSBERG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46307</v>
      </c>
      <c r="E187" s="1" t="n">
        <v>46315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30002-2025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46315</v>
      </c>
      <c r="F188" t="inlineStr">
        <is>
          <t>ÖREBRO LÄN</t>
        </is>
      </c>
      <c r="G188" t="inlineStr">
        <is>
          <t>LJUSNARSBERG</t>
        </is>
      </c>
      <c r="H188" t="inlineStr">
        <is>
          <t>Sveaskog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46315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46315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46315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36771-2026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46272</v>
      </c>
      <c r="E192" s="1" t="n">
        <v>46315</v>
      </c>
      <c r="F192" t="inlineStr">
        <is>
          <t>ÖREBRO LÄN</t>
        </is>
      </c>
      <c r="G192" t="inlineStr">
        <is>
          <t>LJUSNARSBERG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46315</v>
      </c>
      <c r="F193" t="inlineStr">
        <is>
          <t>ÖREBRO LÄN</t>
        </is>
      </c>
      <c r="G193" t="inlineStr">
        <is>
          <t>LJUSNARSBERG</t>
        </is>
      </c>
      <c r="H193" t="inlineStr">
        <is>
          <t>Kyrkan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46272</v>
      </c>
      <c r="E194" s="1" t="n">
        <v>46315</v>
      </c>
      <c r="F194" t="inlineStr">
        <is>
          <t>ÖREBRO LÄN</t>
        </is>
      </c>
      <c r="G194" t="inlineStr">
        <is>
          <t>LJUSNARSBERG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45659</v>
      </c>
      <c r="E195" s="1" t="n">
        <v>46315</v>
      </c>
      <c r="F195" t="inlineStr">
        <is>
          <t>ÖREBRO LÄN</t>
        </is>
      </c>
      <c r="G195" t="inlineStr">
        <is>
          <t>LJUSNARSBERG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59629-2024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45638</v>
      </c>
      <c r="E196" s="1" t="n">
        <v>46315</v>
      </c>
      <c r="F196" t="inlineStr">
        <is>
          <t>ÖREBRO LÄN</t>
        </is>
      </c>
      <c r="G196" t="inlineStr">
        <is>
          <t>LJUSNARSBERG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3541-2022</t>
        </is>
      </c>
      <c r="B197" t="inlineStr">
        <is>
          <t>samrådsanmälan</t>
        </is>
      </c>
      <c r="C197" t="inlineStr">
        <is>
          <t>Skogsbilväg</t>
        </is>
      </c>
      <c r="D197" s="1" t="n">
        <v>44734</v>
      </c>
      <c r="E197" s="1" t="n">
        <v>46315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10473-2021</t>
        </is>
      </c>
      <c r="B198" t="inlineStr">
        <is>
          <t>samrådsanmälan</t>
        </is>
      </c>
      <c r="C198" t="inlineStr">
        <is>
          <t>Skogsbilväg</t>
        </is>
      </c>
      <c r="D198" s="1" t="n">
        <v>44559</v>
      </c>
      <c r="E198" s="1" t="n">
        <v>46315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410-2022</t>
        </is>
      </c>
      <c r="B199" t="inlineStr">
        <is>
          <t>samrådsanmälan</t>
        </is>
      </c>
      <c r="C199" t="inlineStr">
        <is>
          <t>Skogsgödsling</t>
        </is>
      </c>
      <c r="D199" s="1" t="n">
        <v>44585</v>
      </c>
      <c r="E199" s="1" t="n">
        <v>46315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36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1099-2022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44615</v>
      </c>
      <c r="E200" s="1" t="n">
        <v>46315</v>
      </c>
      <c r="F200" t="inlineStr">
        <is>
          <t>ÖREBRO LÄN</t>
        </is>
      </c>
      <c r="G200" t="inlineStr">
        <is>
          <t>LJUSNARSBERG</t>
        </is>
      </c>
      <c r="H200" t="inlineStr">
        <is>
          <t>Sveaskog</t>
        </is>
      </c>
      <c r="I200" t="n">
        <v>147.4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880-2024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45376</v>
      </c>
      <c r="E201" s="1" t="n">
        <v>46315</v>
      </c>
      <c r="F201" t="inlineStr">
        <is>
          <t>ÖREBRO LÄN</t>
        </is>
      </c>
      <c r="G201" t="inlineStr">
        <is>
          <t>LJUSNARSBERG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3528-2023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45205</v>
      </c>
      <c r="E202" s="1" t="n">
        <v>46315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39.4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4521-2023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45275</v>
      </c>
      <c r="E203" s="1" t="n">
        <v>46315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20.7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2836-2023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45167</v>
      </c>
      <c r="E204" s="1" t="n">
        <v>46315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707-2025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45720</v>
      </c>
      <c r="E205" s="1" t="n">
        <v>46315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162.6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1972-2025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45832</v>
      </c>
      <c r="E206" s="1" t="n">
        <v>46315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3578-2025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46010</v>
      </c>
      <c r="E207" s="1" t="n">
        <v>46315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603-2026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46085</v>
      </c>
      <c r="E208" s="1" t="n">
        <v>46315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125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1743-2026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46185</v>
      </c>
      <c r="E209" s="1" t="n">
        <v>46315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2322-2026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46269</v>
      </c>
      <c r="E210" s="1" t="n">
        <v>46315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67.09999999999999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1624-2026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46174</v>
      </c>
      <c r="E211" s="1" t="n">
        <v>46315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2026-10-20T01:50:29Z</dcterms:created>
  <dcterms:modified xmlns:dcterms="http://purl.org/dc/terms/" xmlns:xsi="http://www.w3.org/2001/XMLSchema-instance" xsi:type="dcterms:W3CDTF">2026-10-20T01:50:29Z</dcterms:modified>
</cp:coreProperties>
</file>