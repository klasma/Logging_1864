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46306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46306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46306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46306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46306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46306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46306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46306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46306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46306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45536-2024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45578</v>
      </c>
      <c r="E15" s="1" t="n">
        <v>46306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Tvåblad
Fläcknycklar</t>
        </is>
      </c>
      <c r="W15">
        <f>HYPERLINK("https://klasma.github.io/Logging_1864/artfynd/A 45536-2024 artfynd.xlsx", "A 45536-2024")</f>
        <v/>
      </c>
      <c r="X15">
        <f>HYPERLINK("https://klasma.github.io/Logging_1864/kartor/A 45536-2024 karta.png", "A 45536-2024")</f>
        <v/>
      </c>
      <c r="Y15">
        <f>HYPERLINK("https://klasma.github.io/Logging_1864/kartor_geotiff/A 45536-2024 georefererad karta.tif", "A 45536-2024")</f>
        <v/>
      </c>
      <c r="AA15">
        <f>HYPERLINK("https://klasma.github.io/Logging_1864/klagomål/A 45536-2024 FSC-klagomål.docx", "A 45536-2024")</f>
        <v/>
      </c>
      <c r="AB15">
        <f>HYPERLINK("https://klasma.github.io/Logging_1864/klagomålsmail/A 45536-2024 FSC-klagomål mail.docx", "A 45536-2024")</f>
        <v/>
      </c>
      <c r="AC15">
        <f>HYPERLINK("https://klasma.github.io/Logging_1864/tillsyn/A 45536-2024 tillsynsbegäran.docx", "A 45536-2024")</f>
        <v/>
      </c>
      <c r="AD15">
        <f>HYPERLINK("https://klasma.github.io/Logging_1864/tillsynsmail/A 45536-2024 tillsynsbegäran mail.docx", "A 45536-2024")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46306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46306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46306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46306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46306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45537-2024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46306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4.3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HYPERLINK("https://klasma.github.io/Logging_1864/artfynd/A 45537-2024 artfynd.xlsx", "A 45537-2024")</f>
        <v/>
      </c>
      <c r="X21">
        <f>HYPERLINK("https://klasma.github.io/Logging_1864/kartor/A 45537-2024 karta.png", "A 45537-2024")</f>
        <v/>
      </c>
      <c r="Y21">
        <f>HYPERLINK("https://klasma.github.io/Logging_1864/kartor_geotiff/A 45537-2024 georefererad karta.tif", "A 45537-2024")</f>
        <v/>
      </c>
      <c r="AA21">
        <f>HYPERLINK("https://klasma.github.io/Logging_1864/klagomål/A 45537-2024 FSC-klagomål.docx", "A 45537-2024")</f>
        <v/>
      </c>
      <c r="AB21">
        <f>HYPERLINK("https://klasma.github.io/Logging_1864/klagomålsmail/A 45537-2024 FSC-klagomål mail.docx", "A 45537-2024")</f>
        <v/>
      </c>
      <c r="AC21">
        <f>HYPERLINK("https://klasma.github.io/Logging_1864/tillsyn/A 45537-2024 tillsynsbegäran.docx", "A 45537-2024")</f>
        <v/>
      </c>
      <c r="AD21">
        <f>HYPERLINK("https://klasma.github.io/Logging_1864/tillsynsmail/A 45537-2024 tillsynsbegäran mail.docx", "A 45537-2024")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46306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46306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46306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46306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39095-2022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44817</v>
      </c>
      <c r="E26" s="1" t="n">
        <v>46306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HYPERLINK("https://klasma.github.io/Logging_1864/artfynd/A 39095-2022 artfynd.xlsx", "A 39095-2022")</f>
        <v/>
      </c>
      <c r="X26">
        <f>HYPERLINK("https://klasma.github.io/Logging_1864/kartor/A 39095-2022 karta.png", "A 39095-2022")</f>
        <v/>
      </c>
      <c r="Y26">
        <f>HYPERLINK("https://klasma.github.io/Logging_1864/kartor_geotiff/A 39095-2022 georefererad karta.tif", "A 39095-2022")</f>
        <v/>
      </c>
      <c r="AA26">
        <f>HYPERLINK("https://klasma.github.io/Logging_1864/klagomål/A 39095-2022 FSC-klagomål.docx", "A 39095-2022")</f>
        <v/>
      </c>
      <c r="AB26">
        <f>HYPERLINK("https://klasma.github.io/Logging_1864/klagomålsmail/A 39095-2022 FSC-klagomål mail.docx", "A 39095-2022")</f>
        <v/>
      </c>
      <c r="AC26">
        <f>HYPERLINK("https://klasma.github.io/Logging_1864/tillsyn/A 39095-2022 tillsynsbegäran.docx", "A 39095-2022")</f>
        <v/>
      </c>
      <c r="AD26">
        <f>HYPERLINK("https://klasma.github.io/Logging_1864/tillsynsmail/A 39095-2022 tillsynsbegäran mail.docx", "A 39095-2022")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46306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46306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46306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46306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46306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46306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46306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46306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46306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46306</v>
      </c>
      <c r="F36" t="inlineStr">
        <is>
          <t>ÖREBRO LÄN</t>
        </is>
      </c>
      <c r="G36" t="inlineStr">
        <is>
          <t>LJUSNARSBERG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44790</v>
      </c>
      <c r="E37" s="1" t="n">
        <v>46306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44778</v>
      </c>
      <c r="E38" s="1" t="n">
        <v>46306</v>
      </c>
      <c r="F38" t="inlineStr">
        <is>
          <t>ÖREBRO LÄN</t>
        </is>
      </c>
      <c r="G38" t="inlineStr">
        <is>
          <t>LJUSNARSBERG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46306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25773-2022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46306</v>
      </c>
      <c r="F40" t="inlineStr">
        <is>
          <t>ÖREBRO LÄN</t>
        </is>
      </c>
      <c r="G40" t="inlineStr">
        <is>
          <t>LJUSNARSBERG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46306</v>
      </c>
      <c r="F41" t="inlineStr">
        <is>
          <t>ÖREBRO LÄN</t>
        </is>
      </c>
      <c r="G41" t="inlineStr">
        <is>
          <t>LJUSNARSBERG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46306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62667-2022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44917</v>
      </c>
      <c r="E43" s="1" t="n">
        <v>46306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25098-2023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45086</v>
      </c>
      <c r="E44" s="1" t="n">
        <v>46306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46306</v>
      </c>
      <c r="F45" t="inlineStr">
        <is>
          <t>ÖREBRO LÄN</t>
        </is>
      </c>
      <c r="G45" t="inlineStr">
        <is>
          <t>LJUSNARSBERG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46306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45764</v>
      </c>
      <c r="E47" s="1" t="n">
        <v>46306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14500-2024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45394</v>
      </c>
      <c r="E48" s="1" t="n">
        <v>46306</v>
      </c>
      <c r="F48" t="inlineStr">
        <is>
          <t>ÖREBRO LÄN</t>
        </is>
      </c>
      <c r="G48" t="inlineStr">
        <is>
          <t>LJUSNARSBERG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45539-2024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45578</v>
      </c>
      <c r="E49" s="1" t="n">
        <v>46306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46306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45106</v>
      </c>
      <c r="E51" s="1" t="n">
        <v>46306</v>
      </c>
      <c r="F51" t="inlineStr">
        <is>
          <t>ÖREBRO LÄN</t>
        </is>
      </c>
      <c r="G51" t="inlineStr">
        <is>
          <t>LJUSNARSBERG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46306</v>
      </c>
      <c r="F52" t="inlineStr">
        <is>
          <t>ÖREBRO LÄN</t>
        </is>
      </c>
      <c r="G52" t="inlineStr">
        <is>
          <t>LJUSNARSBERG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46306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46306</v>
      </c>
      <c r="F54" t="inlineStr">
        <is>
          <t>ÖREBRO LÄN</t>
        </is>
      </c>
      <c r="G54" t="inlineStr">
        <is>
          <t>LJUSNARSBERG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46306</v>
      </c>
      <c r="F55" t="inlineStr">
        <is>
          <t>ÖREBRO LÄN</t>
        </is>
      </c>
      <c r="G55" t="inlineStr">
        <is>
          <t>LJUSNARSBERG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46306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46306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46306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46306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45347</v>
      </c>
      <c r="E60" s="1" t="n">
        <v>46306</v>
      </c>
      <c r="F60" t="inlineStr">
        <is>
          <t>ÖREBRO LÄN</t>
        </is>
      </c>
      <c r="G60" t="inlineStr">
        <is>
          <t>LJUSNARSBERG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18932-2022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44690</v>
      </c>
      <c r="E61" s="1" t="n">
        <v>46306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46306</v>
      </c>
      <c r="F62" t="inlineStr">
        <is>
          <t>ÖREBRO LÄN</t>
        </is>
      </c>
      <c r="G62" t="inlineStr">
        <is>
          <t>LJUSNARSBERG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29595-2025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46306</v>
      </c>
      <c r="F63" t="inlineStr">
        <is>
          <t>ÖREBRO LÄN</t>
        </is>
      </c>
      <c r="G63" t="inlineStr">
        <is>
          <t>LJUSNARSBERG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46306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46306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46306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46306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46306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46306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46306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41420-2025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46306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18.1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46306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46306</v>
      </c>
      <c r="F73" t="inlineStr">
        <is>
          <t>ÖREBRO LÄN</t>
        </is>
      </c>
      <c r="G73" t="inlineStr">
        <is>
          <t>LJUSNARSBERG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59495-2024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45638</v>
      </c>
      <c r="E74" s="1" t="n">
        <v>46306</v>
      </c>
      <c r="F74" t="inlineStr">
        <is>
          <t>ÖREBRO LÄN</t>
        </is>
      </c>
      <c r="G74" t="inlineStr">
        <is>
          <t>LJUSNARSBERG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62810-2021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46306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46306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45581</v>
      </c>
      <c r="E77" s="1" t="n">
        <v>46306</v>
      </c>
      <c r="F77" t="inlineStr">
        <is>
          <t>ÖREBRO LÄN</t>
        </is>
      </c>
      <c r="G77" t="inlineStr">
        <is>
          <t>LJUSNARSBERG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46306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46306</v>
      </c>
      <c r="F79" t="inlineStr">
        <is>
          <t>ÖREBRO LÄN</t>
        </is>
      </c>
      <c r="G79" t="inlineStr">
        <is>
          <t>LJUSNARSBERG</t>
        </is>
      </c>
      <c r="I79" t="n">
        <v>17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59497-2024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45638</v>
      </c>
      <c r="E80" s="1" t="n">
        <v>46306</v>
      </c>
      <c r="F80" t="inlineStr">
        <is>
          <t>ÖREBRO LÄN</t>
        </is>
      </c>
      <c r="G80" t="inlineStr">
        <is>
          <t>LJUSNARSBERG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22887-2024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45448</v>
      </c>
      <c r="E81" s="1" t="n">
        <v>46306</v>
      </c>
      <c r="F81" t="inlineStr">
        <is>
          <t>ÖREBRO LÄN</t>
        </is>
      </c>
      <c r="G81" t="inlineStr">
        <is>
          <t>LJUSNARSBERG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31162-2023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46306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46306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44999</v>
      </c>
      <c r="E84" s="1" t="n">
        <v>46306</v>
      </c>
      <c r="F84" t="inlineStr">
        <is>
          <t>ÖREBRO LÄN</t>
        </is>
      </c>
      <c r="G84" t="inlineStr">
        <is>
          <t>LJUSNARSBERG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46306</v>
      </c>
      <c r="F85" t="inlineStr">
        <is>
          <t>ÖREBRO LÄN</t>
        </is>
      </c>
      <c r="G85" t="inlineStr">
        <is>
          <t>LJUSNARSBERG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46306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28778-2024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45478</v>
      </c>
      <c r="E87" s="1" t="n">
        <v>46306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45463</v>
      </c>
      <c r="E88" s="1" t="n">
        <v>46306</v>
      </c>
      <c r="F88" t="inlineStr">
        <is>
          <t>ÖREBRO LÄN</t>
        </is>
      </c>
      <c r="G88" t="inlineStr">
        <is>
          <t>LJUSNARSBERG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46306</v>
      </c>
      <c r="F89" t="inlineStr">
        <is>
          <t>ÖREBRO LÄN</t>
        </is>
      </c>
      <c r="G89" t="inlineStr">
        <is>
          <t>LJUSNARSBERG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45698</v>
      </c>
      <c r="E90" s="1" t="n">
        <v>46306</v>
      </c>
      <c r="F90" t="inlineStr">
        <is>
          <t>ÖREBRO LÄN</t>
        </is>
      </c>
      <c r="G90" t="inlineStr">
        <is>
          <t>LJUSNARSBERG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45593</v>
      </c>
      <c r="E91" s="1" t="n">
        <v>46306</v>
      </c>
      <c r="F91" t="inlineStr">
        <is>
          <t>ÖREBRO LÄN</t>
        </is>
      </c>
      <c r="G91" t="inlineStr">
        <is>
          <t>LJUSNARSBERG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46306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46492-2025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45925</v>
      </c>
      <c r="E93" s="1" t="n">
        <v>46306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46306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45142</v>
      </c>
      <c r="E95" s="1" t="n">
        <v>46306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45574</v>
      </c>
      <c r="E96" s="1" t="n">
        <v>46306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46306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46306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45106</v>
      </c>
      <c r="E99" s="1" t="n">
        <v>46306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46306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44939</v>
      </c>
      <c r="E101" s="1" t="n">
        <v>46306</v>
      </c>
      <c r="F101" t="inlineStr">
        <is>
          <t>ÖREBRO LÄN</t>
        </is>
      </c>
      <c r="G101" t="inlineStr">
        <is>
          <t>LJUSNARSBERG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45217</v>
      </c>
      <c r="E102" s="1" t="n">
        <v>46306</v>
      </c>
      <c r="F102" t="inlineStr">
        <is>
          <t>ÖREBRO LÄN</t>
        </is>
      </c>
      <c r="G102" t="inlineStr">
        <is>
          <t>LJUSNARSBERG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45934</v>
      </c>
      <c r="E103" s="1" t="n">
        <v>46306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46306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46306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46306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48204-2025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46306</v>
      </c>
      <c r="F107" t="inlineStr">
        <is>
          <t>ÖREBRO LÄN</t>
        </is>
      </c>
      <c r="G107" t="inlineStr">
        <is>
          <t>LJUSNARSBERG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46306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45649</v>
      </c>
      <c r="E109" s="1" t="n">
        <v>46306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46306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46306</v>
      </c>
      <c r="F111" t="inlineStr">
        <is>
          <t>ÖREBRO LÄN</t>
        </is>
      </c>
      <c r="G111" t="inlineStr">
        <is>
          <t>LJUSNARSBERG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25574-2023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45089</v>
      </c>
      <c r="E112" s="1" t="n">
        <v>46306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46306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20673-2025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45776</v>
      </c>
      <c r="E114" s="1" t="n">
        <v>46306</v>
      </c>
      <c r="F114" t="inlineStr">
        <is>
          <t>ÖREBRO LÄN</t>
        </is>
      </c>
      <c r="G114" t="inlineStr">
        <is>
          <t>LJUSNARSBERG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46306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46306</v>
      </c>
      <c r="F116" t="inlineStr">
        <is>
          <t>ÖREBRO LÄN</t>
        </is>
      </c>
      <c r="G116" t="inlineStr">
        <is>
          <t>LJUSNARSBERG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50865-2025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45946</v>
      </c>
      <c r="E117" s="1" t="n">
        <v>46306</v>
      </c>
      <c r="F117" t="inlineStr">
        <is>
          <t>ÖREBRO LÄN</t>
        </is>
      </c>
      <c r="G117" t="inlineStr">
        <is>
          <t>LJUSNARSBERG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18938-2022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44690</v>
      </c>
      <c r="E118" s="1" t="n">
        <v>46306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19857-2022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44694</v>
      </c>
      <c r="E119" s="1" t="n">
        <v>46306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45124</v>
      </c>
      <c r="E120" s="1" t="n">
        <v>46306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46306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46306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46306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45827</v>
      </c>
      <c r="E124" s="1" t="n">
        <v>46306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45951</v>
      </c>
      <c r="E125" s="1" t="n">
        <v>46306</v>
      </c>
      <c r="F125" t="inlineStr">
        <is>
          <t>ÖREBRO LÄN</t>
        </is>
      </c>
      <c r="G125" t="inlineStr">
        <is>
          <t>LJUSNARSBERG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44739</v>
      </c>
      <c r="E126" s="1" t="n">
        <v>46306</v>
      </c>
      <c r="F126" t="inlineStr">
        <is>
          <t>ÖREBRO LÄN</t>
        </is>
      </c>
      <c r="G126" t="inlineStr">
        <is>
          <t>LJUSNARSBERG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46306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33622-2025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46306</v>
      </c>
      <c r="F128" t="inlineStr">
        <is>
          <t>ÖREBRO LÄN</t>
        </is>
      </c>
      <c r="G128" t="inlineStr">
        <is>
          <t>LJUSNARSBERG</t>
        </is>
      </c>
      <c r="H128" t="inlineStr">
        <is>
          <t>Kyrkan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46306</v>
      </c>
      <c r="F129" t="inlineStr">
        <is>
          <t>ÖREBRO LÄN</t>
        </is>
      </c>
      <c r="G129" t="inlineStr">
        <is>
          <t>LJUSNARSBERG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44720</v>
      </c>
      <c r="E130" s="1" t="n">
        <v>46306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46306</v>
      </c>
      <c r="F131" t="inlineStr">
        <is>
          <t>ÖREBRO LÄN</t>
        </is>
      </c>
      <c r="G131" t="inlineStr">
        <is>
          <t>LJUSNARSBERG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44720</v>
      </c>
      <c r="E132" s="1" t="n">
        <v>46306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46306</v>
      </c>
      <c r="F133" t="inlineStr">
        <is>
          <t>ÖREBRO LÄN</t>
        </is>
      </c>
      <c r="G133" t="inlineStr">
        <is>
          <t>LJUSNARSBERG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44790</v>
      </c>
      <c r="E134" s="1" t="n">
        <v>46306</v>
      </c>
      <c r="F134" t="inlineStr">
        <is>
          <t>ÖREBRO LÄN</t>
        </is>
      </c>
      <c r="G134" t="inlineStr">
        <is>
          <t>LJUSNARSBERG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46306</v>
      </c>
      <c r="F135" t="inlineStr">
        <is>
          <t>ÖREBRO LÄN</t>
        </is>
      </c>
      <c r="G135" t="inlineStr">
        <is>
          <t>LJUSNARSBERG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46306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45659</v>
      </c>
      <c r="E137" s="1" t="n">
        <v>46306</v>
      </c>
      <c r="F137" t="inlineStr">
        <is>
          <t>ÖREBRO LÄN</t>
        </is>
      </c>
      <c r="G137" t="inlineStr">
        <is>
          <t>LJUSNARSBERG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46306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46306</v>
      </c>
      <c r="F139" t="inlineStr">
        <is>
          <t>ÖREBRO LÄN</t>
        </is>
      </c>
      <c r="G139" t="inlineStr">
        <is>
          <t>LJUSNARSBERG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45980</v>
      </c>
      <c r="E140" s="1" t="n">
        <v>46306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45980</v>
      </c>
      <c r="E141" s="1" t="n">
        <v>46306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46306</v>
      </c>
      <c r="F142" t="inlineStr">
        <is>
          <t>ÖREBRO LÄN</t>
        </is>
      </c>
      <c r="G142" t="inlineStr">
        <is>
          <t>LJUSNARSBERG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45399</v>
      </c>
      <c r="E143" s="1" t="n">
        <v>46306</v>
      </c>
      <c r="F143" t="inlineStr">
        <is>
          <t>ÖREBRO LÄN</t>
        </is>
      </c>
      <c r="G143" t="inlineStr">
        <is>
          <t>LJUSNARSBERG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46306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44607</v>
      </c>
      <c r="E145" s="1" t="n">
        <v>46306</v>
      </c>
      <c r="F145" t="inlineStr">
        <is>
          <t>ÖREBRO LÄN</t>
        </is>
      </c>
      <c r="G145" t="inlineStr">
        <is>
          <t>LJUSNARSBERG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46306</v>
      </c>
      <c r="F146" t="inlineStr">
        <is>
          <t>ÖREBRO LÄN</t>
        </is>
      </c>
      <c r="G146" t="inlineStr">
        <is>
          <t>LJUSNARSBERG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62843-2021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46306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45177</v>
      </c>
      <c r="E148" s="1" t="n">
        <v>46306</v>
      </c>
      <c r="F148" t="inlineStr">
        <is>
          <t>ÖREBRO LÄN</t>
        </is>
      </c>
      <c r="G148" t="inlineStr">
        <is>
          <t>LJUSNARSBERG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46306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46306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46306</v>
      </c>
      <c r="F151" t="inlineStr">
        <is>
          <t>ÖREBRO LÄN</t>
        </is>
      </c>
      <c r="G151" t="inlineStr">
        <is>
          <t>LJUSNARSBERG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46306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46306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46306</v>
      </c>
      <c r="F154" t="inlineStr">
        <is>
          <t>ÖREBRO LÄN</t>
        </is>
      </c>
      <c r="G154" t="inlineStr">
        <is>
          <t>LJUSNARSBERG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46306</v>
      </c>
      <c r="F155" t="inlineStr">
        <is>
          <t>ÖREBRO LÄN</t>
        </is>
      </c>
      <c r="G155" t="inlineStr">
        <is>
          <t>LJUSNARSBERG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46306</v>
      </c>
      <c r="F156" t="inlineStr">
        <is>
          <t>ÖREBRO LÄN</t>
        </is>
      </c>
      <c r="G156" t="inlineStr">
        <is>
          <t>LJUSNARSBERG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46306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46306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45035</v>
      </c>
      <c r="E159" s="1" t="n">
        <v>46306</v>
      </c>
      <c r="F159" t="inlineStr">
        <is>
          <t>ÖREBRO LÄN</t>
        </is>
      </c>
      <c r="G159" t="inlineStr">
        <is>
          <t>LJUSNARSBERG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46306</v>
      </c>
      <c r="F160" t="inlineStr">
        <is>
          <t>ÖREBRO LÄN</t>
        </is>
      </c>
      <c r="G160" t="inlineStr">
        <is>
          <t>LJUSNARSBERG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36108-2024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46306</v>
      </c>
      <c r="F161" t="inlineStr">
        <is>
          <t>ÖREBRO LÄN</t>
        </is>
      </c>
      <c r="G161" t="inlineStr">
        <is>
          <t>LJUSNARSBERG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46306</v>
      </c>
      <c r="F162" t="inlineStr">
        <is>
          <t>ÖREBRO LÄN</t>
        </is>
      </c>
      <c r="G162" t="inlineStr">
        <is>
          <t>LJUSNARSBERG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46306</v>
      </c>
      <c r="F163" t="inlineStr">
        <is>
          <t>ÖREBRO LÄN</t>
        </is>
      </c>
      <c r="G163" t="inlineStr">
        <is>
          <t>LJUSNARSBERG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46306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46306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46306</v>
      </c>
      <c r="F166" t="inlineStr">
        <is>
          <t>ÖREBRO LÄN</t>
        </is>
      </c>
      <c r="G166" t="inlineStr">
        <is>
          <t>LJUSNARSBERG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46146</v>
      </c>
      <c r="E167" s="1" t="n">
        <v>46306</v>
      </c>
      <c r="F167" t="inlineStr">
        <is>
          <t>ÖREBRO LÄN</t>
        </is>
      </c>
      <c r="G167" t="inlineStr">
        <is>
          <t>LJUSNARSBERG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46306</v>
      </c>
      <c r="F168" t="inlineStr">
        <is>
          <t>ÖREBRO LÄN</t>
        </is>
      </c>
      <c r="G168" t="inlineStr">
        <is>
          <t>LJUSNARSBERG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46306</v>
      </c>
      <c r="F169" t="inlineStr">
        <is>
          <t>ÖREBRO LÄN</t>
        </is>
      </c>
      <c r="G169" t="inlineStr">
        <is>
          <t>LJUSNARSBERG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46306</v>
      </c>
      <c r="F170" t="inlineStr">
        <is>
          <t>ÖREBRO LÄN</t>
        </is>
      </c>
      <c r="G170" t="inlineStr">
        <is>
          <t>LJUSNARSBERG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46306</v>
      </c>
      <c r="F171" t="inlineStr">
        <is>
          <t>ÖREBRO LÄN</t>
        </is>
      </c>
      <c r="G171" t="inlineStr">
        <is>
          <t>LJUSNARSBERG</t>
        </is>
      </c>
      <c r="H171" t="inlineStr">
        <is>
          <t>Kommuner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46306</v>
      </c>
      <c r="F172" t="inlineStr">
        <is>
          <t>ÖREBRO LÄN</t>
        </is>
      </c>
      <c r="G172" t="inlineStr">
        <is>
          <t>LJUSNARSBERG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46306</v>
      </c>
      <c r="F173" t="inlineStr">
        <is>
          <t>ÖREBRO LÄN</t>
        </is>
      </c>
      <c r="G173" t="inlineStr">
        <is>
          <t>LJUSNARSBERG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46306</v>
      </c>
      <c r="F174" t="inlineStr">
        <is>
          <t>ÖREBRO LÄN</t>
        </is>
      </c>
      <c r="G174" t="inlineStr">
        <is>
          <t>LJUSNARSBERG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46167</v>
      </c>
      <c r="E175" s="1" t="n">
        <v>46306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46306</v>
      </c>
      <c r="F176" t="inlineStr">
        <is>
          <t>ÖREBRO LÄN</t>
        </is>
      </c>
      <c r="G176" t="inlineStr">
        <is>
          <t>LJUSNARSBERG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46306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46306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46306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46272</v>
      </c>
      <c r="E180" s="1" t="n">
        <v>46306</v>
      </c>
      <c r="F180" t="inlineStr">
        <is>
          <t>ÖREBRO LÄN</t>
        </is>
      </c>
      <c r="G180" t="inlineStr">
        <is>
          <t>LJUSNARSBERG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46272</v>
      </c>
      <c r="E181" s="1" t="n">
        <v>46306</v>
      </c>
      <c r="F181" t="inlineStr">
        <is>
          <t>ÖREBRO LÄN</t>
        </is>
      </c>
      <c r="G181" t="inlineStr">
        <is>
          <t>LJUSNARSBERG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46167</v>
      </c>
      <c r="E182" s="1" t="n">
        <v>46306</v>
      </c>
      <c r="F182" t="inlineStr">
        <is>
          <t>ÖREBRO LÄN</t>
        </is>
      </c>
      <c r="G182" t="inlineStr">
        <is>
          <t>LJUSNARSBERG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46306</v>
      </c>
      <c r="F183" t="inlineStr">
        <is>
          <t>ÖREBRO LÄN</t>
        </is>
      </c>
      <c r="G183" t="inlineStr">
        <is>
          <t>LJUSNARSBERG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46279</v>
      </c>
      <c r="E184" s="1" t="n">
        <v>46306</v>
      </c>
      <c r="F184" t="inlineStr">
        <is>
          <t>ÖREBRO LÄN</t>
        </is>
      </c>
      <c r="G184" t="inlineStr">
        <is>
          <t>LJUSNARSBERG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46306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46306</v>
      </c>
      <c r="F186" t="inlineStr">
        <is>
          <t>ÖREBRO LÄN</t>
        </is>
      </c>
      <c r="G186" t="inlineStr">
        <is>
          <t>LJUSNARSBERG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46306</v>
      </c>
      <c r="F187" t="inlineStr">
        <is>
          <t>ÖREBRO LÄN</t>
        </is>
      </c>
      <c r="G187" t="inlineStr">
        <is>
          <t>LJUSNARSBERG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46306</v>
      </c>
      <c r="F188" t="inlineStr">
        <is>
          <t>ÖREBRO LÄN</t>
        </is>
      </c>
      <c r="G188" t="inlineStr">
        <is>
          <t>LJUSNARSBERG</t>
        </is>
      </c>
      <c r="H188" t="inlineStr">
        <is>
          <t>Kyrkan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46306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46306</v>
      </c>
      <c r="F190" t="inlineStr">
        <is>
          <t>ÖREBRO LÄN</t>
        </is>
      </c>
      <c r="G190" t="inlineStr">
        <is>
          <t>LJUSNARSBERG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46306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46301</v>
      </c>
      <c r="E192" s="1" t="n">
        <v>46306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46306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46306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46300</v>
      </c>
      <c r="E195" s="1" t="n">
        <v>46306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46306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46301</v>
      </c>
      <c r="E197" s="1" t="n">
        <v>46306</v>
      </c>
      <c r="F197" t="inlineStr">
        <is>
          <t>ÖREBRO LÄN</t>
        </is>
      </c>
      <c r="G197" t="inlineStr">
        <is>
          <t>LJUSNARSBERG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46306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41490-2026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46306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46306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46306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46306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46306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46306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46306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46306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2836-2023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45167</v>
      </c>
      <c r="E207" s="1" t="n">
        <v>46306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707-2025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45720</v>
      </c>
      <c r="E208" s="1" t="n">
        <v>46306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1972-2025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45832</v>
      </c>
      <c r="E209" s="1" t="n">
        <v>46306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3578-2025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46010</v>
      </c>
      <c r="E210" s="1" t="n">
        <v>46306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603-2026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46085</v>
      </c>
      <c r="E211" s="1" t="n">
        <v>46306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125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1743-2026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46185</v>
      </c>
      <c r="E212" s="1" t="n">
        <v>46306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46306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46306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2026-10-11T02:02:56Z</dcterms:created>
  <dcterms:modified xmlns:dcterms="http://purl.org/dc/terms/" xmlns:xsi="http://www.w3.org/2001/XMLSchema-instance" xsi:type="dcterms:W3CDTF">2026-10-11T02:02:57Z</dcterms:modified>
</cp:coreProperties>
</file>