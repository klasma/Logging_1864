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46221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V2">
        <f>HYPERLINK("https://klasma.github.io/Logging_1864/artfynd/A 19645-2026 artfynd.xlsx", "A 19645-2026")</f>
        <v/>
      </c>
      <c r="W2">
        <f>HYPERLINK("https://klasma.github.io/Logging_1864/kartor/A 19645-2026 karta.png", "A 19645-2026")</f>
        <v/>
      </c>
      <c r="Y2">
        <f>HYPERLINK("https://klasma.github.io/Logging_1864/klagomål/A 19645-2026 FSC-klagomål.docx", "A 19645-2026")</f>
        <v/>
      </c>
      <c r="Z2">
        <f>HYPERLINK("https://klasma.github.io/Logging_1864/klagomålsmail/A 19645-2026 FSC-klagomål mail.docx", "A 19645-2026")</f>
        <v/>
      </c>
      <c r="AA2">
        <f>HYPERLINK("https://klasma.github.io/Logging_1864/tillsyn/A 19645-2026 tillsynsbegäran.docx", "A 19645-2026")</f>
        <v/>
      </c>
      <c r="AB2">
        <f>HYPERLINK("https://klasma.github.io/Logging_1864/tillsynsmail/A 19645-2026 tillsynsbegäran mail.docx", "A 19645-2026")</f>
        <v/>
      </c>
      <c r="AC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44403</v>
      </c>
      <c r="E3" s="1" t="n">
        <v>46221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6.2</v>
      </c>
      <c r="J3" t="n">
        <v>3</v>
      </c>
      <c r="K3" t="n">
        <v>3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31</v>
      </c>
      <c r="U3" s="2" t="inlineStr">
        <is>
          <t>Gul taggsvamp
Dropptaggsvamp
Kortskaftad ärgspik
Platt spretmossa
Tallriska
Ullticka
Vedtrappmossa
Flagellkvastmossa
Mindre märgborre
Vågbandad barkbock
Blåsippa
Spillkråka
Kungsfågel</t>
        </is>
      </c>
      <c r="V3">
        <f>HYPERLINK("https://klasma.github.io/Logging_1864/artfynd/A 37817-2021 artfynd.xlsx", "A 37817-2021")</f>
        <v/>
      </c>
      <c r="W3">
        <f>HYPERLINK("https://klasma.github.io/Logging_1864/kartor/A 37817-2021 karta.png", "A 37817-2021")</f>
        <v/>
      </c>
      <c r="Y3">
        <f>HYPERLINK("https://klasma.github.io/Logging_1864/klagomål/A 37817-2021 FSC-klagomål.docx", "A 37817-2021")</f>
        <v/>
      </c>
      <c r="Z3">
        <f>HYPERLINK("https://klasma.github.io/Logging_1864/klagomålsmail/A 37817-2021 FSC-klagomål mail.docx", "A 37817-2021")</f>
        <v/>
      </c>
      <c r="AA3">
        <f>HYPERLINK("https://klasma.github.io/Logging_1864/tillsyn/A 37817-2021 tillsynsbegäran.docx", "A 37817-2021")</f>
        <v/>
      </c>
      <c r="AB3">
        <f>HYPERLINK("https://klasma.github.io/Logging_1864/tillsynsmail/A 37817-2021 tillsynsbegäran mail.docx", "A 37817-2021")</f>
        <v/>
      </c>
      <c r="AC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46221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2.2</v>
      </c>
      <c r="J4" t="n">
        <v>1</v>
      </c>
      <c r="K4" t="n">
        <v>5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9</v>
      </c>
      <c r="T4" t="n">
        <v>18</v>
      </c>
      <c r="U4" s="2" t="inlineStr">
        <is>
          <t>Garnlav
Brunpudrad nållav
Tretåig hackspett
Vedtrappmossa
Flagellkvastmossa
Gulnål
Mindre märgborre
Vedticka
Vågbandad barkbock</t>
        </is>
      </c>
      <c r="V4">
        <f>HYPERLINK("https://klasma.github.io/Logging_1864/artfynd/A 65215-2021 artfynd.xlsx", "A 65215-2021")</f>
        <v/>
      </c>
      <c r="W4">
        <f>HYPERLINK("https://klasma.github.io/Logging_1864/kartor/A 65215-2021 karta.png", "A 65215-2021")</f>
        <v/>
      </c>
      <c r="Y4">
        <f>HYPERLINK("https://klasma.github.io/Logging_1864/klagomål/A 65215-2021 FSC-klagomål.docx", "A 65215-2021")</f>
        <v/>
      </c>
      <c r="Z4">
        <f>HYPERLINK("https://klasma.github.io/Logging_1864/klagomålsmail/A 65215-2021 FSC-klagomål mail.docx", "A 65215-2021")</f>
        <v/>
      </c>
      <c r="AA4">
        <f>HYPERLINK("https://klasma.github.io/Logging_1864/tillsyn/A 65215-2021 tillsynsbegäran.docx", "A 65215-2021")</f>
        <v/>
      </c>
      <c r="AB4">
        <f>HYPERLINK("https://klasma.github.io/Logging_1864/tillsynsmail/A 65215-2021 tillsynsbegäran mail.docx", "A 65215-2021")</f>
        <v/>
      </c>
      <c r="AC4">
        <f>HYPERLINK("https://klasma.github.io/Logging_1864/fåglar/A 65215-2021 prioriterade fågelarter.docx", "A 65215-2021")</f>
        <v/>
      </c>
    </row>
    <row r="5" ht="15" customHeight="1">
      <c r="A5" t="inlineStr">
        <is>
          <t>A 65216-2021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44515</v>
      </c>
      <c r="E5" s="1" t="n">
        <v>46221</v>
      </c>
      <c r="F5" t="inlineStr">
        <is>
          <t>ÖREBRO LÄN</t>
        </is>
      </c>
      <c r="G5" t="inlineStr">
        <is>
          <t>LJUSNARSBERG</t>
        </is>
      </c>
      <c r="H5" t="inlineStr">
        <is>
          <t>Bergvik skog väst AB</t>
        </is>
      </c>
      <c r="I5" t="n">
        <v>1.9</v>
      </c>
      <c r="J5" t="n">
        <v>2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14</v>
      </c>
      <c r="U5" s="2" t="inlineStr">
        <is>
          <t>Garnlav
Brunpudrad nållav
Tallriska
Tretåig hackspett
Gulnål
Mindre märgborre
Thomsons trägnagare
Tjäder</t>
        </is>
      </c>
      <c r="V5">
        <f>HYPERLINK("https://klasma.github.io/Logging_1864/artfynd/A 65216-2021 artfynd.xlsx", "A 65216-2021")</f>
        <v/>
      </c>
      <c r="W5">
        <f>HYPERLINK("https://klasma.github.io/Logging_1864/kartor/A 65216-2021 karta.png", "A 65216-2021")</f>
        <v/>
      </c>
      <c r="Y5">
        <f>HYPERLINK("https://klasma.github.io/Logging_1864/klagomål/A 65216-2021 FSC-klagomål.docx", "A 65216-2021")</f>
        <v/>
      </c>
      <c r="Z5">
        <f>HYPERLINK("https://klasma.github.io/Logging_1864/klagomålsmail/A 65216-2021 FSC-klagomål mail.docx", "A 65216-2021")</f>
        <v/>
      </c>
      <c r="AA5">
        <f>HYPERLINK("https://klasma.github.io/Logging_1864/tillsyn/A 65216-2021 tillsynsbegäran.docx", "A 65216-2021")</f>
        <v/>
      </c>
      <c r="AB5">
        <f>HYPERLINK("https://klasma.github.io/Logging_1864/tillsynsmail/A 65216-2021 tillsynsbegäran mail.docx", "A 65216-2021")</f>
        <v/>
      </c>
      <c r="AC5">
        <f>HYPERLINK("https://klasma.github.io/Logging_1864/fåglar/A 65216-2021 prioriterade fågelarter.docx", "A 65216-2021")</f>
        <v/>
      </c>
    </row>
    <row r="6" ht="15" customHeight="1">
      <c r="A6" t="inlineStr">
        <is>
          <t>A 45797-2021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46221</v>
      </c>
      <c r="F6" t="inlineStr">
        <is>
          <t>ÖREBRO LÄN</t>
        </is>
      </c>
      <c r="G6" t="inlineStr">
        <is>
          <t>LJUSNARSBERG</t>
        </is>
      </c>
      <c r="I6" t="n">
        <v>9.9</v>
      </c>
      <c r="J6" t="n">
        <v>5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8</v>
      </c>
      <c r="U6" s="2" t="inlineStr">
        <is>
          <t>Garnlav
Talltita
Vedticka
Spillkråka
Tofsmes
Kungsfågel
Svartvit flugsnappare</t>
        </is>
      </c>
      <c r="V6">
        <f>HYPERLINK("https://klasma.github.io/Logging_1864/artfynd/A 45797-2021 artfynd.xlsx", "A 45797-2021")</f>
        <v/>
      </c>
      <c r="W6">
        <f>HYPERLINK("https://klasma.github.io/Logging_1864/kartor/A 45797-2021 karta.png", "A 45797-2021")</f>
        <v/>
      </c>
      <c r="Y6">
        <f>HYPERLINK("https://klasma.github.io/Logging_1864/klagomål/A 45797-2021 FSC-klagomål.docx", "A 45797-2021")</f>
        <v/>
      </c>
      <c r="Z6">
        <f>HYPERLINK("https://klasma.github.io/Logging_1864/klagomålsmail/A 45797-2021 FSC-klagomål mail.docx", "A 45797-2021")</f>
        <v/>
      </c>
      <c r="AA6">
        <f>HYPERLINK("https://klasma.github.io/Logging_1864/tillsyn/A 45797-2021 tillsynsbegäran.docx", "A 45797-2021")</f>
        <v/>
      </c>
      <c r="AB6">
        <f>HYPERLINK("https://klasma.github.io/Logging_1864/tillsynsmail/A 45797-2021 tillsynsbegäran mail.docx", "A 45797-2021")</f>
        <v/>
      </c>
      <c r="AC6">
        <f>HYPERLINK("https://klasma.github.io/Logging_1864/fåglar/A 45797-2021 prioriterade fågelarter.docx", "A 45797-2021")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46221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s="2" t="inlineStr">
        <is>
          <t>Gråbrun ängsfingersvamp
Rosenfingersvamp
Stornopping
Tvåblad
Ängsfingersvamp
Fläcknycklar
Nattviol</t>
        </is>
      </c>
      <c r="V7">
        <f>HYPERLINK("https://klasma.github.io/Logging_1864/artfynd/S 295-2025 artfynd.xlsx", "S 295-2025")</f>
        <v/>
      </c>
      <c r="W7">
        <f>HYPERLINK("https://klasma.github.io/Logging_1864/kartor/S 295-2025 karta.png", "S 295-2025")</f>
        <v/>
      </c>
      <c r="Y7">
        <f>HYPERLINK("https://klasma.github.io/Logging_1864/klagomål/S 295-2025 FSC-klagomål.docx", "S 295-2025")</f>
        <v/>
      </c>
      <c r="Z7">
        <f>HYPERLINK("https://klasma.github.io/Logging_1864/klagomålsmail/S 295-2025 FSC-klagomål mail.docx", "S 295-2025")</f>
        <v/>
      </c>
      <c r="AA7">
        <f>HYPERLINK("https://klasma.github.io/Logging_1864/tillsyn/S 295-2025 tillsynsbegäran.docx", "S 295-2025")</f>
        <v/>
      </c>
      <c r="AB7">
        <f>HYPERLINK("https://klasma.github.io/Logging_1864/tillsynsmail/S 295-2025 tillsynsbegäran mail.docx", "S 295-2025")</f>
        <v/>
      </c>
    </row>
    <row r="8" ht="15" customHeight="1">
      <c r="A8" t="inlineStr">
        <is>
          <t>A 11444-2026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46083</v>
      </c>
      <c r="E8" s="1" t="n">
        <v>46221</v>
      </c>
      <c r="F8" t="inlineStr">
        <is>
          <t>ÖREBRO LÄN</t>
        </is>
      </c>
      <c r="G8" t="inlineStr">
        <is>
          <t>LJUSNARSBERG</t>
        </is>
      </c>
      <c r="I8" t="n">
        <v>41.9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12</v>
      </c>
      <c r="U8" s="2" t="inlineStr">
        <is>
          <t>Älg
Mindre märgborre
Mattlummer
Spillkråka
Tjäder
Kungsfågel</t>
        </is>
      </c>
      <c r="V8">
        <f>HYPERLINK("https://klasma.github.io/Logging_1864/artfynd/A 11444-2026 artfynd.xlsx", "A 11444-2026")</f>
        <v/>
      </c>
      <c r="W8">
        <f>HYPERLINK("https://klasma.github.io/Logging_1864/kartor/A 11444-2026 karta.png", "A 11444-2026")</f>
        <v/>
      </c>
      <c r="Y8">
        <f>HYPERLINK("https://klasma.github.io/Logging_1864/klagomål/A 11444-2026 FSC-klagomål.docx", "A 11444-2026")</f>
        <v/>
      </c>
      <c r="Z8">
        <f>HYPERLINK("https://klasma.github.io/Logging_1864/klagomålsmail/A 11444-2026 FSC-klagomål mail.docx", "A 11444-2026")</f>
        <v/>
      </c>
      <c r="AA8">
        <f>HYPERLINK("https://klasma.github.io/Logging_1864/tillsyn/A 11444-2026 tillsynsbegäran.docx", "A 11444-2026")</f>
        <v/>
      </c>
      <c r="AB8">
        <f>HYPERLINK("https://klasma.github.io/Logging_1864/tillsynsmail/A 11444-2026 tillsynsbegäran mail.docx", "A 11444-2026")</f>
        <v/>
      </c>
      <c r="AC8">
        <f>HYPERLINK("https://klasma.github.io/Logging_1864/fåglar/A 11444-2026 prioriterade fågelarter.docx", "A 11444-2026")</f>
        <v/>
      </c>
    </row>
    <row r="9" ht="15" customHeight="1">
      <c r="A9" t="inlineStr">
        <is>
          <t>A 65217-2021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44515</v>
      </c>
      <c r="E9" s="1" t="n">
        <v>46221</v>
      </c>
      <c r="F9" t="inlineStr">
        <is>
          <t>ÖREBRO LÄN</t>
        </is>
      </c>
      <c r="G9" t="inlineStr">
        <is>
          <t>LJUSNARSBERG</t>
        </is>
      </c>
      <c r="H9" t="inlineStr">
        <is>
          <t>Bergvik skog väst AB</t>
        </is>
      </c>
      <c r="I9" t="n">
        <v>1.3</v>
      </c>
      <c r="J9" t="n">
        <v>1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5</v>
      </c>
      <c r="T9" t="n">
        <v>12</v>
      </c>
      <c r="U9" s="2" t="inlineStr">
        <is>
          <t>Motaggsvamp
Tallriska
Tretåig hackspett
Vedtrappmossa
Bollvitmossa</t>
        </is>
      </c>
      <c r="V9">
        <f>HYPERLINK("https://klasma.github.io/Logging_1864/artfynd/A 65217-2021 artfynd.xlsx", "A 65217-2021")</f>
        <v/>
      </c>
      <c r="W9">
        <f>HYPERLINK("https://klasma.github.io/Logging_1864/kartor/A 65217-2021 karta.png", "A 65217-2021")</f>
        <v/>
      </c>
      <c r="Y9">
        <f>HYPERLINK("https://klasma.github.io/Logging_1864/klagomål/A 65217-2021 FSC-klagomål.docx", "A 65217-2021")</f>
        <v/>
      </c>
      <c r="Z9">
        <f>HYPERLINK("https://klasma.github.io/Logging_1864/klagomålsmail/A 65217-2021 FSC-klagomål mail.docx", "A 65217-2021")</f>
        <v/>
      </c>
      <c r="AA9">
        <f>HYPERLINK("https://klasma.github.io/Logging_1864/tillsyn/A 65217-2021 tillsynsbegäran.docx", "A 65217-2021")</f>
        <v/>
      </c>
      <c r="AB9">
        <f>HYPERLINK("https://klasma.github.io/Logging_1864/tillsynsmail/A 65217-2021 tillsynsbegäran mail.docx", "A 65217-2021")</f>
        <v/>
      </c>
      <c r="AC9">
        <f>HYPERLINK("https://klasma.github.io/Logging_1864/fåglar/A 65217-2021 prioriterade fågelarter.docx", "A 65217-2021")</f>
        <v/>
      </c>
    </row>
    <row r="10" ht="15" customHeight="1">
      <c r="A10" t="inlineStr">
        <is>
          <t>A 41623-2024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45560</v>
      </c>
      <c r="E10" s="1" t="n">
        <v>46221</v>
      </c>
      <c r="F10" t="inlineStr">
        <is>
          <t>ÖREBRO LÄN</t>
        </is>
      </c>
      <c r="G10" t="inlineStr">
        <is>
          <t>LJUSNARSBERG</t>
        </is>
      </c>
      <c r="I10" t="n">
        <v>0.5</v>
      </c>
      <c r="J10" t="n">
        <v>0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5</v>
      </c>
      <c r="T10" t="n">
        <v>5</v>
      </c>
      <c r="U10" s="2" t="inlineStr">
        <is>
          <t>Skuggmalmätare
Brunbandad malmätare
Brunflammig fältmätare
Glimmalmätare
Gullpudra</t>
        </is>
      </c>
      <c r="V10">
        <f>HYPERLINK("https://klasma.github.io/Logging_1864/artfynd/A 41623-2024 artfynd.xlsx", "A 41623-2024")</f>
        <v/>
      </c>
      <c r="W10">
        <f>HYPERLINK("https://klasma.github.io/Logging_1864/kartor/A 41623-2024 karta.png", "A 41623-2024")</f>
        <v/>
      </c>
      <c r="Y10">
        <f>HYPERLINK("https://klasma.github.io/Logging_1864/klagomål/A 41623-2024 FSC-klagomål.docx", "A 41623-2024")</f>
        <v/>
      </c>
      <c r="Z10">
        <f>HYPERLINK("https://klasma.github.io/Logging_1864/klagomålsmail/A 41623-2024 FSC-klagomål mail.docx", "A 41623-2024")</f>
        <v/>
      </c>
      <c r="AA10">
        <f>HYPERLINK("https://klasma.github.io/Logging_1864/tillsyn/A 41623-2024 tillsynsbegäran.docx", "A 41623-2024")</f>
        <v/>
      </c>
      <c r="AB10">
        <f>HYPERLINK("https://klasma.github.io/Logging_1864/tillsynsmail/A 41623-2024 tillsynsbegäran mail.docx", "A 41623-2024")</f>
        <v/>
      </c>
    </row>
    <row r="11" ht="15" customHeight="1">
      <c r="A11" t="inlineStr">
        <is>
          <t>A 24352-2026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46167</v>
      </c>
      <c r="E11" s="1" t="n">
        <v>46221</v>
      </c>
      <c r="F11" t="inlineStr">
        <is>
          <t>ÖREBRO LÄN</t>
        </is>
      </c>
      <c r="G11" t="inlineStr">
        <is>
          <t>LJUSNARSBERG</t>
        </is>
      </c>
      <c r="I11" t="n">
        <v>2.9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11</v>
      </c>
      <c r="U11" s="2" t="inlineStr">
        <is>
          <t>Thomsons trägnagare
Vågbandad barkbock
Spillkråka
Tjäder
Fläcknycklar</t>
        </is>
      </c>
      <c r="V11">
        <f>HYPERLINK("https://klasma.github.io/Logging_1864/artfynd/A 24352-2026 artfynd.xlsx", "A 24352-2026")</f>
        <v/>
      </c>
      <c r="W11">
        <f>HYPERLINK("https://klasma.github.io/Logging_1864/kartor/A 24352-2026 karta.png", "A 24352-2026")</f>
        <v/>
      </c>
      <c r="Y11">
        <f>HYPERLINK("https://klasma.github.io/Logging_1864/klagomål/A 24352-2026 FSC-klagomål.docx", "A 24352-2026")</f>
        <v/>
      </c>
      <c r="Z11">
        <f>HYPERLINK("https://klasma.github.io/Logging_1864/klagomålsmail/A 24352-2026 FSC-klagomål mail.docx", "A 24352-2026")</f>
        <v/>
      </c>
      <c r="AA11">
        <f>HYPERLINK("https://klasma.github.io/Logging_1864/tillsyn/A 24352-2026 tillsynsbegäran.docx", "A 24352-2026")</f>
        <v/>
      </c>
      <c r="AB11">
        <f>HYPERLINK("https://klasma.github.io/Logging_1864/tillsynsmail/A 24352-2026 tillsynsbegäran mail.docx", "A 24352-2026")</f>
        <v/>
      </c>
      <c r="AC11">
        <f>HYPERLINK("https://klasma.github.io/Logging_1864/fåglar/A 24352-2026 prioriterade fågelarter.docx", "A 24352-2026")</f>
        <v/>
      </c>
    </row>
    <row r="12" ht="15" customHeight="1">
      <c r="A12" t="inlineStr">
        <is>
          <t>A 18853-2026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46127</v>
      </c>
      <c r="E12" s="1" t="n">
        <v>46221</v>
      </c>
      <c r="F12" t="inlineStr">
        <is>
          <t>ÖREBRO LÄN</t>
        </is>
      </c>
      <c r="G12" t="inlineStr">
        <is>
          <t>LJUSNARSBERG</t>
        </is>
      </c>
      <c r="I12" t="n">
        <v>9.5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7</v>
      </c>
      <c r="U12" s="2" t="inlineStr">
        <is>
          <t>Entita
Bronshjon
Spillkråka
Grönsiska
Kungsfågel</t>
        </is>
      </c>
      <c r="V12">
        <f>HYPERLINK("https://klasma.github.io/Logging_1864/artfynd/A 18853-2026 artfynd.xlsx", "A 18853-2026")</f>
        <v/>
      </c>
      <c r="W12">
        <f>HYPERLINK("https://klasma.github.io/Logging_1864/kartor/A 18853-2026 karta.png", "A 18853-2026")</f>
        <v/>
      </c>
      <c r="Y12">
        <f>HYPERLINK("https://klasma.github.io/Logging_1864/klagomål/A 18853-2026 FSC-klagomål.docx", "A 18853-2026")</f>
        <v/>
      </c>
      <c r="Z12">
        <f>HYPERLINK("https://klasma.github.io/Logging_1864/klagomålsmail/A 18853-2026 FSC-klagomål mail.docx", "A 18853-2026")</f>
        <v/>
      </c>
      <c r="AA12">
        <f>HYPERLINK("https://klasma.github.io/Logging_1864/tillsyn/A 18853-2026 tillsynsbegäran.docx", "A 18853-2026")</f>
        <v/>
      </c>
      <c r="AB12">
        <f>HYPERLINK("https://klasma.github.io/Logging_1864/tillsynsmail/A 18853-2026 tillsynsbegäran mail.docx", "A 18853-2026")</f>
        <v/>
      </c>
      <c r="AC12">
        <f>HYPERLINK("https://klasma.github.io/Logging_1864/fåglar/A 18853-2026 prioriterade fågelarter.docx", "A 18853-2026")</f>
        <v/>
      </c>
    </row>
    <row r="13" ht="15" customHeight="1">
      <c r="A13" t="inlineStr">
        <is>
          <t>A 43996-2021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44434</v>
      </c>
      <c r="E13" s="1" t="n">
        <v>46221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8.4</v>
      </c>
      <c r="J13" t="n">
        <v>3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s="2" t="inlineStr">
        <is>
          <t>Fältgentiana
Tvåblad
Fläcknycklar
Nattviol</t>
        </is>
      </c>
      <c r="V13">
        <f>HYPERLINK("https://klasma.github.io/Logging_1864/artfynd/A 43996-2021 artfynd.xlsx", "A 43996-2021")</f>
        <v/>
      </c>
      <c r="W13">
        <f>HYPERLINK("https://klasma.github.io/Logging_1864/kartor/A 43996-2021 karta.png", "A 43996-2021")</f>
        <v/>
      </c>
      <c r="Y13">
        <f>HYPERLINK("https://klasma.github.io/Logging_1864/klagomål/A 43996-2021 FSC-klagomål.docx", "A 43996-2021")</f>
        <v/>
      </c>
      <c r="Z13">
        <f>HYPERLINK("https://klasma.github.io/Logging_1864/klagomålsmail/A 43996-2021 FSC-klagomål mail.docx", "A 43996-2021")</f>
        <v/>
      </c>
      <c r="AA13">
        <f>HYPERLINK("https://klasma.github.io/Logging_1864/tillsyn/A 43996-2021 tillsynsbegäran.docx", "A 43996-2021")</f>
        <v/>
      </c>
      <c r="AB13">
        <f>HYPERLINK("https://klasma.github.io/Logging_1864/tillsynsmail/A 43996-2021 tillsynsbegäran mail.docx", "A 43996-2021")</f>
        <v/>
      </c>
    </row>
    <row r="14" ht="15" customHeight="1">
      <c r="A14" t="inlineStr">
        <is>
          <t>A 57978-2025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45982</v>
      </c>
      <c r="E14" s="1" t="n">
        <v>46221</v>
      </c>
      <c r="F14" t="inlineStr">
        <is>
          <t>ÖREBRO LÄN</t>
        </is>
      </c>
      <c r="G14" t="inlineStr">
        <is>
          <t>LJUSNARSBERG</t>
        </is>
      </c>
      <c r="H14" t="inlineStr">
        <is>
          <t>Bergvik skog väst AB</t>
        </is>
      </c>
      <c r="I14" t="n">
        <v>1.5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7</v>
      </c>
      <c r="U14" s="2" t="inlineStr">
        <is>
          <t>Tvåblad
Brudsporre
Grönvit nattviol
Nattviol</t>
        </is>
      </c>
      <c r="V14">
        <f>HYPERLINK("https://klasma.github.io/Logging_1864/artfynd/A 57978-2025 artfynd.xlsx", "A 57978-2025")</f>
        <v/>
      </c>
      <c r="W14">
        <f>HYPERLINK("https://klasma.github.io/Logging_1864/kartor/A 57978-2025 karta.png", "A 57978-2025")</f>
        <v/>
      </c>
      <c r="Y14">
        <f>HYPERLINK("https://klasma.github.io/Logging_1864/klagomål/A 57978-2025 FSC-klagomål.docx", "A 57978-2025")</f>
        <v/>
      </c>
      <c r="Z14">
        <f>HYPERLINK("https://klasma.github.io/Logging_1864/klagomålsmail/A 57978-2025 FSC-klagomål mail.docx", "A 57978-2025")</f>
        <v/>
      </c>
      <c r="AA14">
        <f>HYPERLINK("https://klasma.github.io/Logging_1864/tillsyn/A 57978-2025 tillsynsbegäran.docx", "A 57978-2025")</f>
        <v/>
      </c>
      <c r="AB14">
        <f>HYPERLINK("https://klasma.github.io/Logging_1864/tillsynsmail/A 57978-2025 tillsynsbegäran mail.docx", "A 57978-2025")</f>
        <v/>
      </c>
    </row>
    <row r="15" ht="15" customHeight="1">
      <c r="A15" t="inlineStr">
        <is>
          <t>A 24307-2026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46167</v>
      </c>
      <c r="E15" s="1" t="n">
        <v>46221</v>
      </c>
      <c r="F15" t="inlineStr">
        <is>
          <t>ÖREBRO LÄN</t>
        </is>
      </c>
      <c r="G15" t="inlineStr">
        <is>
          <t>LJUSNARSBERG</t>
        </is>
      </c>
      <c r="I15" t="n">
        <v>10.5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11</v>
      </c>
      <c r="U15" s="2" t="inlineStr">
        <is>
          <t>Tretåig hackspett
Tjäder
Vanlig groda
Fläcknycklar</t>
        </is>
      </c>
      <c r="V15">
        <f>HYPERLINK("https://klasma.github.io/Logging_1864/artfynd/A 24307-2026 artfynd.xlsx", "A 24307-2026")</f>
        <v/>
      </c>
      <c r="W15">
        <f>HYPERLINK("https://klasma.github.io/Logging_1864/kartor/A 24307-2026 karta.png", "A 24307-2026")</f>
        <v/>
      </c>
      <c r="Y15">
        <f>HYPERLINK("https://klasma.github.io/Logging_1864/klagomål/A 24307-2026 FSC-klagomål.docx", "A 24307-2026")</f>
        <v/>
      </c>
      <c r="Z15">
        <f>HYPERLINK("https://klasma.github.io/Logging_1864/klagomålsmail/A 24307-2026 FSC-klagomål mail.docx", "A 24307-2026")</f>
        <v/>
      </c>
      <c r="AA15">
        <f>HYPERLINK("https://klasma.github.io/Logging_1864/tillsyn/A 24307-2026 tillsynsbegäran.docx", "A 24307-2026")</f>
        <v/>
      </c>
      <c r="AB15">
        <f>HYPERLINK("https://klasma.github.io/Logging_1864/tillsynsmail/A 24307-2026 tillsynsbegäran mail.docx", "A 24307-2026")</f>
        <v/>
      </c>
      <c r="AC15">
        <f>HYPERLINK("https://klasma.github.io/Logging_1864/fåglar/A 24307-2026 prioriterade fågelarter.docx", "A 24307-2026")</f>
        <v/>
      </c>
    </row>
    <row r="16" ht="15" customHeight="1">
      <c r="A16" t="inlineStr">
        <is>
          <t>A 49300-2025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46221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7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s="2" t="inlineStr">
        <is>
          <t>Rynkskinn
Ullticka
Vedticka</t>
        </is>
      </c>
      <c r="V16">
        <f>HYPERLINK("https://klasma.github.io/Logging_1864/artfynd/A 49300-2025 artfynd.xlsx", "A 49300-2025")</f>
        <v/>
      </c>
      <c r="W16">
        <f>HYPERLINK("https://klasma.github.io/Logging_1864/kartor/A 49300-2025 karta.png", "A 49300-2025")</f>
        <v/>
      </c>
      <c r="Y16">
        <f>HYPERLINK("https://klasma.github.io/Logging_1864/klagomål/A 49300-2025 FSC-klagomål.docx", "A 49300-2025")</f>
        <v/>
      </c>
      <c r="Z16">
        <f>HYPERLINK("https://klasma.github.io/Logging_1864/klagomålsmail/A 49300-2025 FSC-klagomål mail.docx", "A 49300-2025")</f>
        <v/>
      </c>
      <c r="AA16">
        <f>HYPERLINK("https://klasma.github.io/Logging_1864/tillsyn/A 49300-2025 tillsynsbegäran.docx", "A 49300-2025")</f>
        <v/>
      </c>
      <c r="AB16">
        <f>HYPERLINK("https://klasma.github.io/Logging_1864/tillsynsmail/A 49300-2025 tillsynsbegäran mail.docx", "A 49300-2025")</f>
        <v/>
      </c>
    </row>
    <row r="17" ht="15" customHeight="1">
      <c r="A17" t="inlineStr">
        <is>
          <t>A 62105-2022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44920</v>
      </c>
      <c r="E17" s="1" t="n">
        <v>46221</v>
      </c>
      <c r="F17" t="inlineStr">
        <is>
          <t>ÖREBRO LÄN</t>
        </is>
      </c>
      <c r="G17" t="inlineStr">
        <is>
          <t>LJUSNARSBERG</t>
        </is>
      </c>
      <c r="I17" t="n">
        <v>5.7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7</v>
      </c>
      <c r="U17" s="2" t="inlineStr">
        <is>
          <t>Spillkråka
Kungsfågel</t>
        </is>
      </c>
      <c r="V17">
        <f>HYPERLINK("https://klasma.github.io/Logging_1864/artfynd/A 62105-2022 artfynd.xlsx", "A 62105-2022")</f>
        <v/>
      </c>
      <c r="W17">
        <f>HYPERLINK("https://klasma.github.io/Logging_1864/kartor/A 62105-2022 karta.png", "A 62105-2022")</f>
        <v/>
      </c>
      <c r="Y17">
        <f>HYPERLINK("https://klasma.github.io/Logging_1864/klagomål/A 62105-2022 FSC-klagomål.docx", "A 62105-2022")</f>
        <v/>
      </c>
      <c r="Z17">
        <f>HYPERLINK("https://klasma.github.io/Logging_1864/klagomålsmail/A 62105-2022 FSC-klagomål mail.docx", "A 62105-2022")</f>
        <v/>
      </c>
      <c r="AA17">
        <f>HYPERLINK("https://klasma.github.io/Logging_1864/tillsyn/A 62105-2022 tillsynsbegäran.docx", "A 62105-2022")</f>
        <v/>
      </c>
      <c r="AB17">
        <f>HYPERLINK("https://klasma.github.io/Logging_1864/tillsynsmail/A 62105-2022 tillsynsbegäran mail.docx", "A 62105-2022")</f>
        <v/>
      </c>
      <c r="AC17">
        <f>HYPERLINK("https://klasma.github.io/Logging_1864/fåglar/A 62105-2022 prioriterade fågelarter.docx", "A 62105-2022")</f>
        <v/>
      </c>
    </row>
    <row r="18" ht="15" customHeight="1">
      <c r="A18" t="inlineStr">
        <is>
          <t>A 40854-2025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45897</v>
      </c>
      <c r="E18" s="1" t="n">
        <v>46221</v>
      </c>
      <c r="F18" t="inlineStr">
        <is>
          <t>ÖREBRO LÄN</t>
        </is>
      </c>
      <c r="G18" t="inlineStr">
        <is>
          <t>LJUSNARSBERG</t>
        </is>
      </c>
      <c r="H18" t="inlineStr">
        <is>
          <t>Bergvik skog väst AB</t>
        </is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Tvåblad
Nattviol</t>
        </is>
      </c>
      <c r="V18">
        <f>HYPERLINK("https://klasma.github.io/Logging_1864/artfynd/A 40854-2025 artfynd.xlsx", "A 40854-2025")</f>
        <v/>
      </c>
      <c r="W18">
        <f>HYPERLINK("https://klasma.github.io/Logging_1864/kartor/A 40854-2025 karta.png", "A 40854-2025")</f>
        <v/>
      </c>
      <c r="Y18">
        <f>HYPERLINK("https://klasma.github.io/Logging_1864/klagomål/A 40854-2025 FSC-klagomål.docx", "A 40854-2025")</f>
        <v/>
      </c>
      <c r="Z18">
        <f>HYPERLINK("https://klasma.github.io/Logging_1864/klagomålsmail/A 40854-2025 FSC-klagomål mail.docx", "A 40854-2025")</f>
        <v/>
      </c>
      <c r="AA18">
        <f>HYPERLINK("https://klasma.github.io/Logging_1864/tillsyn/A 40854-2025 tillsynsbegäran.docx", "A 40854-2025")</f>
        <v/>
      </c>
      <c r="AB18">
        <f>HYPERLINK("https://klasma.github.io/Logging_1864/tillsynsmail/A 40854-2025 tillsynsbegäran mail.docx", "A 40854-2025")</f>
        <v/>
      </c>
    </row>
    <row r="19" ht="15" customHeight="1">
      <c r="A19" t="inlineStr">
        <is>
          <t>A 53729-2024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45614</v>
      </c>
      <c r="E19" s="1" t="n">
        <v>46221</v>
      </c>
      <c r="F19" t="inlineStr">
        <is>
          <t>ÖREBRO LÄN</t>
        </is>
      </c>
      <c r="G19" t="inlineStr">
        <is>
          <t>LJUSNARSBERG</t>
        </is>
      </c>
      <c r="I19" t="n">
        <v>14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Aspfjädermossa
Smal svampklubba</t>
        </is>
      </c>
      <c r="V19">
        <f>HYPERLINK("https://klasma.github.io/Logging_1864/artfynd/A 53729-2024 artfynd.xlsx", "A 53729-2024")</f>
        <v/>
      </c>
      <c r="W19">
        <f>HYPERLINK("https://klasma.github.io/Logging_1864/kartor/A 53729-2024 karta.png", "A 53729-2024")</f>
        <v/>
      </c>
      <c r="Y19">
        <f>HYPERLINK("https://klasma.github.io/Logging_1864/klagomål/A 53729-2024 FSC-klagomål.docx", "A 53729-2024")</f>
        <v/>
      </c>
      <c r="Z19">
        <f>HYPERLINK("https://klasma.github.io/Logging_1864/klagomålsmail/A 53729-2024 FSC-klagomål mail.docx", "A 53729-2024")</f>
        <v/>
      </c>
      <c r="AA19">
        <f>HYPERLINK("https://klasma.github.io/Logging_1864/tillsyn/A 53729-2024 tillsynsbegäran.docx", "A 53729-2024")</f>
        <v/>
      </c>
      <c r="AB19">
        <f>HYPERLINK("https://klasma.github.io/Logging_1864/tillsynsmail/A 53729-2024 tillsynsbegäran mail.docx", "A 53729-2024")</f>
        <v/>
      </c>
    </row>
    <row r="20" ht="15" customHeight="1">
      <c r="A20" t="inlineStr">
        <is>
          <t>A 49157-2023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45210</v>
      </c>
      <c r="E20" s="1" t="n">
        <v>46221</v>
      </c>
      <c r="F20" t="inlineStr">
        <is>
          <t>ÖREBRO LÄN</t>
        </is>
      </c>
      <c r="G20" t="inlineStr">
        <is>
          <t>LJUSNARSBERG</t>
        </is>
      </c>
      <c r="I20" t="n">
        <v>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Rödgul trumpetsvamp
Skogshakmossa</t>
        </is>
      </c>
      <c r="V20">
        <f>HYPERLINK("https://klasma.github.io/Logging_1864/artfynd/A 49157-2023 artfynd.xlsx", "A 49157-2023")</f>
        <v/>
      </c>
      <c r="W20">
        <f>HYPERLINK("https://klasma.github.io/Logging_1864/kartor/A 49157-2023 karta.png", "A 49157-2023")</f>
        <v/>
      </c>
      <c r="Y20">
        <f>HYPERLINK("https://klasma.github.io/Logging_1864/klagomål/A 49157-2023 FSC-klagomål.docx", "A 49157-2023")</f>
        <v/>
      </c>
      <c r="Z20">
        <f>HYPERLINK("https://klasma.github.io/Logging_1864/klagomålsmail/A 49157-2023 FSC-klagomål mail.docx", "A 49157-2023")</f>
        <v/>
      </c>
      <c r="AA20">
        <f>HYPERLINK("https://klasma.github.io/Logging_1864/tillsyn/A 49157-2023 tillsynsbegäran.docx", "A 49157-2023")</f>
        <v/>
      </c>
      <c r="AB20">
        <f>HYPERLINK("https://klasma.github.io/Logging_1864/tillsynsmail/A 49157-2023 tillsynsbegäran mail.docx", "A 49157-2023")</f>
        <v/>
      </c>
    </row>
    <row r="21" ht="15" customHeight="1">
      <c r="A21" t="inlineStr">
        <is>
          <t>A 33193-2024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45518</v>
      </c>
      <c r="E21" s="1" t="n">
        <v>46221</v>
      </c>
      <c r="F21" t="inlineStr">
        <is>
          <t>ÖREBRO LÄN</t>
        </is>
      </c>
      <c r="G21" t="inlineStr">
        <is>
          <t>LJUSNARSBERG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4</v>
      </c>
      <c r="U21" s="2" t="inlineStr">
        <is>
          <t>Dropptaggsvamp
Tjäder</t>
        </is>
      </c>
      <c r="V21">
        <f>HYPERLINK("https://klasma.github.io/Logging_1864/artfynd/A 33193-2024 artfynd.xlsx", "A 33193-2024")</f>
        <v/>
      </c>
      <c r="W21">
        <f>HYPERLINK("https://klasma.github.io/Logging_1864/kartor/A 33193-2024 karta.png", "A 33193-2024")</f>
        <v/>
      </c>
      <c r="Y21">
        <f>HYPERLINK("https://klasma.github.io/Logging_1864/klagomål/A 33193-2024 FSC-klagomål.docx", "A 33193-2024")</f>
        <v/>
      </c>
      <c r="Z21">
        <f>HYPERLINK("https://klasma.github.io/Logging_1864/klagomålsmail/A 33193-2024 FSC-klagomål mail.docx", "A 33193-2024")</f>
        <v/>
      </c>
      <c r="AA21">
        <f>HYPERLINK("https://klasma.github.io/Logging_1864/tillsyn/A 33193-2024 tillsynsbegäran.docx", "A 33193-2024")</f>
        <v/>
      </c>
      <c r="AB21">
        <f>HYPERLINK("https://klasma.github.io/Logging_1864/tillsynsmail/A 33193-2024 tillsynsbegäran mail.docx", "A 33193-2024")</f>
        <v/>
      </c>
      <c r="AC21">
        <f>HYPERLINK("https://klasma.github.io/Logging_1864/fåglar/A 33193-2024 prioriterade fågelarter.docx", "A 33193-2024")</f>
        <v/>
      </c>
    </row>
    <row r="22" ht="15" customHeight="1">
      <c r="A22" t="inlineStr">
        <is>
          <t>A 24374-2026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46167</v>
      </c>
      <c r="E22" s="1" t="n">
        <v>46221</v>
      </c>
      <c r="F22" t="inlineStr">
        <is>
          <t>ÖREBRO LÄN</t>
        </is>
      </c>
      <c r="G22" t="inlineStr">
        <is>
          <t>LJUSNARSBERG</t>
        </is>
      </c>
      <c r="I22" t="n">
        <v>2.4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s="2" t="inlineStr">
        <is>
          <t>Vågbandad barkbock
Fläcknycklar</t>
        </is>
      </c>
      <c r="V22">
        <f>HYPERLINK("https://klasma.github.io/Logging_1864/artfynd/A 24374-2026 artfynd.xlsx", "A 24374-2026")</f>
        <v/>
      </c>
      <c r="W22">
        <f>HYPERLINK("https://klasma.github.io/Logging_1864/kartor/A 24374-2026 karta.png", "A 24374-2026")</f>
        <v/>
      </c>
      <c r="Y22">
        <f>HYPERLINK("https://klasma.github.io/Logging_1864/klagomål/A 24374-2026 FSC-klagomål.docx", "A 24374-2026")</f>
        <v/>
      </c>
      <c r="Z22">
        <f>HYPERLINK("https://klasma.github.io/Logging_1864/klagomålsmail/A 24374-2026 FSC-klagomål mail.docx", "A 24374-2026")</f>
        <v/>
      </c>
      <c r="AA22">
        <f>HYPERLINK("https://klasma.github.io/Logging_1864/tillsyn/A 24374-2026 tillsynsbegäran.docx", "A 24374-2026")</f>
        <v/>
      </c>
      <c r="AB22">
        <f>HYPERLINK("https://klasma.github.io/Logging_1864/tillsynsmail/A 24374-2026 tillsynsbegäran mail.docx", "A 24374-2026")</f>
        <v/>
      </c>
    </row>
    <row r="23" ht="15" customHeight="1">
      <c r="A23" t="inlineStr">
        <is>
          <t>A 45536-2024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45578</v>
      </c>
      <c r="E23" s="1" t="n">
        <v>46221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5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6</v>
      </c>
      <c r="U23" s="2" t="inlineStr">
        <is>
          <t>Tvåblad
Fläcknycklar</t>
        </is>
      </c>
      <c r="V23">
        <f>HYPERLINK("https://klasma.github.io/Logging_1864/artfynd/A 45536-2024 artfynd.xlsx", "A 45536-2024")</f>
        <v/>
      </c>
      <c r="W23">
        <f>HYPERLINK("https://klasma.github.io/Logging_1864/kartor/A 45536-2024 karta.png", "A 45536-2024")</f>
        <v/>
      </c>
      <c r="Y23">
        <f>HYPERLINK("https://klasma.github.io/Logging_1864/klagomål/A 45536-2024 FSC-klagomål.docx", "A 45536-2024")</f>
        <v/>
      </c>
      <c r="Z23">
        <f>HYPERLINK("https://klasma.github.io/Logging_1864/klagomålsmail/A 45536-2024 FSC-klagomål mail.docx", "A 45536-2024")</f>
        <v/>
      </c>
      <c r="AA23">
        <f>HYPERLINK("https://klasma.github.io/Logging_1864/tillsyn/A 45536-2024 tillsynsbegäran.docx", "A 45536-2024")</f>
        <v/>
      </c>
      <c r="AB23">
        <f>HYPERLINK("https://klasma.github.io/Logging_1864/tillsynsmail/A 45536-2024 tillsynsbegäran mail.docx", "A 45536-2024")</f>
        <v/>
      </c>
    </row>
    <row r="24" ht="15" customHeight="1">
      <c r="A24" t="inlineStr">
        <is>
          <t>A 56179-2024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45623</v>
      </c>
      <c r="E24" s="1" t="n">
        <v>46221</v>
      </c>
      <c r="F24" t="inlineStr">
        <is>
          <t>ÖREBRO LÄN</t>
        </is>
      </c>
      <c r="G24" t="inlineStr">
        <is>
          <t>LJUSNARSBERG</t>
        </is>
      </c>
      <c r="I24" t="n">
        <v>0.9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Vedticka</t>
        </is>
      </c>
      <c r="V24">
        <f>HYPERLINK("https://klasma.github.io/Logging_1864/artfynd/A 56179-2024 artfynd.xlsx", "A 56179-2024")</f>
        <v/>
      </c>
      <c r="W24">
        <f>HYPERLINK("https://klasma.github.io/Logging_1864/kartor/A 56179-2024 karta.png", "A 56179-2024")</f>
        <v/>
      </c>
      <c r="Y24">
        <f>HYPERLINK("https://klasma.github.io/Logging_1864/klagomål/A 56179-2024 FSC-klagomål.docx", "A 56179-2024")</f>
        <v/>
      </c>
      <c r="Z24">
        <f>HYPERLINK("https://klasma.github.io/Logging_1864/klagomålsmail/A 56179-2024 FSC-klagomål mail.docx", "A 56179-2024")</f>
        <v/>
      </c>
      <c r="AA24">
        <f>HYPERLINK("https://klasma.github.io/Logging_1864/tillsyn/A 56179-2024 tillsynsbegäran.docx", "A 56179-2024")</f>
        <v/>
      </c>
      <c r="AB24">
        <f>HYPERLINK("https://klasma.github.io/Logging_1864/tillsynsmail/A 56179-2024 tillsynsbegäran mail.docx", "A 56179-2024")</f>
        <v/>
      </c>
    </row>
    <row r="25" ht="15" customHeight="1">
      <c r="A25" t="inlineStr">
        <is>
          <t>A 39514-2025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45890</v>
      </c>
      <c r="E25" s="1" t="n">
        <v>46221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10.8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s="2" t="inlineStr">
        <is>
          <t>Nattviol</t>
        </is>
      </c>
      <c r="V25">
        <f>HYPERLINK("https://klasma.github.io/Logging_1864/artfynd/A 39514-2025 artfynd.xlsx", "A 39514-2025")</f>
        <v/>
      </c>
      <c r="W25">
        <f>HYPERLINK("https://klasma.github.io/Logging_1864/kartor/A 39514-2025 karta.png", "A 39514-2025")</f>
        <v/>
      </c>
      <c r="Y25">
        <f>HYPERLINK("https://klasma.github.io/Logging_1864/klagomål/A 39514-2025 FSC-klagomål.docx", "A 39514-2025")</f>
        <v/>
      </c>
      <c r="Z25">
        <f>HYPERLINK("https://klasma.github.io/Logging_1864/klagomålsmail/A 39514-2025 FSC-klagomål mail.docx", "A 39514-2025")</f>
        <v/>
      </c>
      <c r="AA25">
        <f>HYPERLINK("https://klasma.github.io/Logging_1864/tillsyn/A 39514-2025 tillsynsbegäran.docx", "A 39514-2025")</f>
        <v/>
      </c>
      <c r="AB25">
        <f>HYPERLINK("https://klasma.github.io/Logging_1864/tillsynsmail/A 39514-2025 tillsynsbegäran mail.docx", "A 39514-2025")</f>
        <v/>
      </c>
    </row>
    <row r="26" ht="15" customHeight="1">
      <c r="A26" t="inlineStr">
        <is>
          <t>A 20797-2022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44701</v>
      </c>
      <c r="E26" s="1" t="n">
        <v>46221</v>
      </c>
      <c r="F26" t="inlineStr">
        <is>
          <t>ÖREBRO LÄN</t>
        </is>
      </c>
      <c r="G26" t="inlineStr">
        <is>
          <t>LJUSNARSBERG</t>
        </is>
      </c>
      <c r="H26" t="inlineStr">
        <is>
          <t>Bergvik skog väst AB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Fläcknycklar</t>
        </is>
      </c>
      <c r="V26">
        <f>HYPERLINK("https://klasma.github.io/Logging_1864/artfynd/A 20797-2022 artfynd.xlsx", "A 20797-2022")</f>
        <v/>
      </c>
      <c r="W26">
        <f>HYPERLINK("https://klasma.github.io/Logging_1864/kartor/A 20797-2022 karta.png", "A 20797-2022")</f>
        <v/>
      </c>
      <c r="Y26">
        <f>HYPERLINK("https://klasma.github.io/Logging_1864/klagomål/A 20797-2022 FSC-klagomål.docx", "A 20797-2022")</f>
        <v/>
      </c>
      <c r="Z26">
        <f>HYPERLINK("https://klasma.github.io/Logging_1864/klagomålsmail/A 20797-2022 FSC-klagomål mail.docx", "A 20797-2022")</f>
        <v/>
      </c>
      <c r="AA26">
        <f>HYPERLINK("https://klasma.github.io/Logging_1864/tillsyn/A 20797-2022 tillsynsbegäran.docx", "A 20797-2022")</f>
        <v/>
      </c>
      <c r="AB26">
        <f>HYPERLINK("https://klasma.github.io/Logging_1864/tillsynsmail/A 20797-2022 tillsynsbegäran mail.docx", "A 20797-2022")</f>
        <v/>
      </c>
    </row>
    <row r="27" ht="15" customHeight="1">
      <c r="A27" t="inlineStr">
        <is>
          <t>A 24791-2024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45460</v>
      </c>
      <c r="E27" s="1" t="n">
        <v>46221</v>
      </c>
      <c r="F27" t="inlineStr">
        <is>
          <t>ÖREBRO LÄN</t>
        </is>
      </c>
      <c r="G27" t="inlineStr">
        <is>
          <t>LJUSNARSBERG</t>
        </is>
      </c>
      <c r="I27" t="n">
        <v>3.9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3</v>
      </c>
      <c r="U27" s="2" t="inlineStr">
        <is>
          <t>Spillkråka</t>
        </is>
      </c>
      <c r="V27">
        <f>HYPERLINK("https://klasma.github.io/Logging_1864/artfynd/A 24791-2024 artfynd.xlsx", "A 24791-2024")</f>
        <v/>
      </c>
      <c r="W27">
        <f>HYPERLINK("https://klasma.github.io/Logging_1864/kartor/A 24791-2024 karta.png", "A 24791-2024")</f>
        <v/>
      </c>
      <c r="Y27">
        <f>HYPERLINK("https://klasma.github.io/Logging_1864/klagomål/A 24791-2024 FSC-klagomål.docx", "A 24791-2024")</f>
        <v/>
      </c>
      <c r="Z27">
        <f>HYPERLINK("https://klasma.github.io/Logging_1864/klagomålsmail/A 24791-2024 FSC-klagomål mail.docx", "A 24791-2024")</f>
        <v/>
      </c>
      <c r="AA27">
        <f>HYPERLINK("https://klasma.github.io/Logging_1864/tillsyn/A 24791-2024 tillsynsbegäran.docx", "A 24791-2024")</f>
        <v/>
      </c>
      <c r="AB27">
        <f>HYPERLINK("https://klasma.github.io/Logging_1864/tillsynsmail/A 24791-2024 tillsynsbegäran mail.docx", "A 24791-2024")</f>
        <v/>
      </c>
      <c r="AC27">
        <f>HYPERLINK("https://klasma.github.io/Logging_1864/fåglar/A 24791-2024 prioriterade fågelarter.docx", "A 24791-2024")</f>
        <v/>
      </c>
    </row>
    <row r="28" ht="15" customHeight="1">
      <c r="A28" t="inlineStr">
        <is>
          <t>A 56859-2025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45975</v>
      </c>
      <c r="E28" s="1" t="n">
        <v>46221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Större vattensalamander</t>
        </is>
      </c>
      <c r="V28">
        <f>HYPERLINK("https://klasma.github.io/Logging_1864/artfynd/A 56859-2025 artfynd.xlsx", "A 56859-2025")</f>
        <v/>
      </c>
      <c r="W28">
        <f>HYPERLINK("https://klasma.github.io/Logging_1864/kartor/A 56859-2025 karta.png", "A 56859-2025")</f>
        <v/>
      </c>
      <c r="Y28">
        <f>HYPERLINK("https://klasma.github.io/Logging_1864/klagomål/A 56859-2025 FSC-klagomål.docx", "A 56859-2025")</f>
        <v/>
      </c>
      <c r="Z28">
        <f>HYPERLINK("https://klasma.github.io/Logging_1864/klagomålsmail/A 56859-2025 FSC-klagomål mail.docx", "A 56859-2025")</f>
        <v/>
      </c>
      <c r="AA28">
        <f>HYPERLINK("https://klasma.github.io/Logging_1864/tillsyn/A 56859-2025 tillsynsbegäran.docx", "A 56859-2025")</f>
        <v/>
      </c>
      <c r="AB28">
        <f>HYPERLINK("https://klasma.github.io/Logging_1864/tillsynsmail/A 56859-2025 tillsynsbegäran mail.docx", "A 56859-2025")</f>
        <v/>
      </c>
    </row>
    <row r="29" ht="15" customHeight="1">
      <c r="A29" t="inlineStr">
        <is>
          <t>A 19940-2026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46136</v>
      </c>
      <c r="E29" s="1" t="n">
        <v>46221</v>
      </c>
      <c r="F29" t="inlineStr">
        <is>
          <t>ÖREBRO LÄN</t>
        </is>
      </c>
      <c r="G29" t="inlineStr">
        <is>
          <t>LJUSNARSBERG</t>
        </is>
      </c>
      <c r="H29" t="inlineStr">
        <is>
          <t>Sveaskog</t>
        </is>
      </c>
      <c r="I29" t="n">
        <v>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Fläcknycklar</t>
        </is>
      </c>
      <c r="V29">
        <f>HYPERLINK("https://klasma.github.io/Logging_1864/artfynd/A 19940-2026 artfynd.xlsx", "A 19940-2026")</f>
        <v/>
      </c>
      <c r="W29">
        <f>HYPERLINK("https://klasma.github.io/Logging_1864/kartor/A 19940-2026 karta.png", "A 19940-2026")</f>
        <v/>
      </c>
      <c r="Y29">
        <f>HYPERLINK("https://klasma.github.io/Logging_1864/klagomål/A 19940-2026 FSC-klagomål.docx", "A 19940-2026")</f>
        <v/>
      </c>
      <c r="Z29">
        <f>HYPERLINK("https://klasma.github.io/Logging_1864/klagomålsmail/A 19940-2026 FSC-klagomål mail.docx", "A 19940-2026")</f>
        <v/>
      </c>
      <c r="AA29">
        <f>HYPERLINK("https://klasma.github.io/Logging_1864/tillsyn/A 19940-2026 tillsynsbegäran.docx", "A 19940-2026")</f>
        <v/>
      </c>
      <c r="AB29">
        <f>HYPERLINK("https://klasma.github.io/Logging_1864/tillsynsmail/A 19940-2026 tillsynsbegäran mail.docx", "A 19940-2026")</f>
        <v/>
      </c>
    </row>
    <row r="30" ht="15" customHeight="1">
      <c r="A30" t="inlineStr">
        <is>
          <t>A 39095-2022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46221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4.8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Mattlummer</t>
        </is>
      </c>
      <c r="V30">
        <f>HYPERLINK("https://klasma.github.io/Logging_1864/artfynd/A 39095-2022 artfynd.xlsx", "A 39095-2022")</f>
        <v/>
      </c>
      <c r="W30">
        <f>HYPERLINK("https://klasma.github.io/Logging_1864/kartor/A 39095-2022 karta.png", "A 39095-2022")</f>
        <v/>
      </c>
      <c r="Y30">
        <f>HYPERLINK("https://klasma.github.io/Logging_1864/klagomål/A 39095-2022 FSC-klagomål.docx", "A 39095-2022")</f>
        <v/>
      </c>
      <c r="Z30">
        <f>HYPERLINK("https://klasma.github.io/Logging_1864/klagomålsmail/A 39095-2022 FSC-klagomål mail.docx", "A 39095-2022")</f>
        <v/>
      </c>
      <c r="AA30">
        <f>HYPERLINK("https://klasma.github.io/Logging_1864/tillsyn/A 39095-2022 tillsynsbegäran.docx", "A 39095-2022")</f>
        <v/>
      </c>
      <c r="AB30">
        <f>HYPERLINK("https://klasma.github.io/Logging_1864/tillsynsmail/A 39095-2022 tillsynsbegäran mail.docx", "A 39095-2022")</f>
        <v/>
      </c>
    </row>
    <row r="31" ht="15" customHeight="1">
      <c r="A31" t="inlineStr">
        <is>
          <t>A 18857-2026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46127</v>
      </c>
      <c r="E31" s="1" t="n">
        <v>46221</v>
      </c>
      <c r="F31" t="inlineStr">
        <is>
          <t>ÖREBRO LÄN</t>
        </is>
      </c>
      <c r="G31" t="inlineStr">
        <is>
          <t>LJUSNARSBERG</t>
        </is>
      </c>
      <c r="I31" t="n">
        <v>5.1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Trana</t>
        </is>
      </c>
      <c r="V31">
        <f>HYPERLINK("https://klasma.github.io/Logging_1864/artfynd/A 18857-2026 artfynd.xlsx", "A 18857-2026")</f>
        <v/>
      </c>
      <c r="W31">
        <f>HYPERLINK("https://klasma.github.io/Logging_1864/kartor/A 18857-2026 karta.png", "A 18857-2026")</f>
        <v/>
      </c>
      <c r="Y31">
        <f>HYPERLINK("https://klasma.github.io/Logging_1864/klagomål/A 18857-2026 FSC-klagomål.docx", "A 18857-2026")</f>
        <v/>
      </c>
      <c r="Z31">
        <f>HYPERLINK("https://klasma.github.io/Logging_1864/klagomålsmail/A 18857-2026 FSC-klagomål mail.docx", "A 18857-2026")</f>
        <v/>
      </c>
      <c r="AA31">
        <f>HYPERLINK("https://klasma.github.io/Logging_1864/tillsyn/A 18857-2026 tillsynsbegäran.docx", "A 18857-2026")</f>
        <v/>
      </c>
      <c r="AB31">
        <f>HYPERLINK("https://klasma.github.io/Logging_1864/tillsynsmail/A 18857-2026 tillsynsbegäran mail.docx", "A 18857-2026")</f>
        <v/>
      </c>
      <c r="AC31">
        <f>HYPERLINK("https://klasma.github.io/Logging_1864/fåglar/A 18857-2026 prioriterade fågelarter.docx", "A 18857-2026")</f>
        <v/>
      </c>
    </row>
    <row r="32" ht="15" customHeight="1">
      <c r="A32" t="inlineStr">
        <is>
          <t>A 24299-2026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46221</v>
      </c>
      <c r="F32" t="inlineStr">
        <is>
          <t>ÖREBRO LÄN</t>
        </is>
      </c>
      <c r="G32" t="inlineStr">
        <is>
          <t>LJUSNARSBERG</t>
        </is>
      </c>
      <c r="I32" t="n">
        <v>10.8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Talltita</t>
        </is>
      </c>
      <c r="V32">
        <f>HYPERLINK("https://klasma.github.io/Logging_1864/artfynd/A 24299-2026 artfynd.xlsx", "A 24299-2026")</f>
        <v/>
      </c>
      <c r="W32">
        <f>HYPERLINK("https://klasma.github.io/Logging_1864/kartor/A 24299-2026 karta.png", "A 24299-2026")</f>
        <v/>
      </c>
      <c r="Y32">
        <f>HYPERLINK("https://klasma.github.io/Logging_1864/klagomål/A 24299-2026 FSC-klagomål.docx", "A 24299-2026")</f>
        <v/>
      </c>
      <c r="Z32">
        <f>HYPERLINK("https://klasma.github.io/Logging_1864/klagomålsmail/A 24299-2026 FSC-klagomål mail.docx", "A 24299-2026")</f>
        <v/>
      </c>
      <c r="AA32">
        <f>HYPERLINK("https://klasma.github.io/Logging_1864/tillsyn/A 24299-2026 tillsynsbegäran.docx", "A 24299-2026")</f>
        <v/>
      </c>
      <c r="AB32">
        <f>HYPERLINK("https://klasma.github.io/Logging_1864/tillsynsmail/A 24299-2026 tillsynsbegäran mail.docx", "A 24299-2026")</f>
        <v/>
      </c>
      <c r="AC32">
        <f>HYPERLINK("https://klasma.github.io/Logging_1864/fåglar/A 24299-2026 prioriterade fågelarter.docx", "A 24299-2026")</f>
        <v/>
      </c>
    </row>
    <row r="33" ht="15" customHeight="1">
      <c r="A33" t="inlineStr">
        <is>
          <t>A 24348-2026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46221</v>
      </c>
      <c r="F33" t="inlineStr">
        <is>
          <t>ÖREBRO LÄN</t>
        </is>
      </c>
      <c r="G33" t="inlineStr">
        <is>
          <t>LJUSNARSBERG</t>
        </is>
      </c>
      <c r="I33" t="n">
        <v>4.8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Spillkråka</t>
        </is>
      </c>
      <c r="V33">
        <f>HYPERLINK("https://klasma.github.io/Logging_1864/artfynd/A 24348-2026 artfynd.xlsx", "A 24348-2026")</f>
        <v/>
      </c>
      <c r="W33">
        <f>HYPERLINK("https://klasma.github.io/Logging_1864/kartor/A 24348-2026 karta.png", "A 24348-2026")</f>
        <v/>
      </c>
      <c r="Y33">
        <f>HYPERLINK("https://klasma.github.io/Logging_1864/klagomål/A 24348-2026 FSC-klagomål.docx", "A 24348-2026")</f>
        <v/>
      </c>
      <c r="Z33">
        <f>HYPERLINK("https://klasma.github.io/Logging_1864/klagomålsmail/A 24348-2026 FSC-klagomål mail.docx", "A 24348-2026")</f>
        <v/>
      </c>
      <c r="AA33">
        <f>HYPERLINK("https://klasma.github.io/Logging_1864/tillsyn/A 24348-2026 tillsynsbegäran.docx", "A 24348-2026")</f>
        <v/>
      </c>
      <c r="AB33">
        <f>HYPERLINK("https://klasma.github.io/Logging_1864/tillsynsmail/A 24348-2026 tillsynsbegäran mail.docx", "A 24348-2026")</f>
        <v/>
      </c>
      <c r="AC33">
        <f>HYPERLINK("https://klasma.github.io/Logging_1864/fåglar/A 24348-2026 prioriterade fågelarter.docx", "A 24348-2026")</f>
        <v/>
      </c>
    </row>
    <row r="34" ht="15" customHeight="1">
      <c r="A34" t="inlineStr">
        <is>
          <t>A 45537-2024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45578</v>
      </c>
      <c r="E34" s="1" t="n">
        <v>46221</v>
      </c>
      <c r="F34" t="inlineStr">
        <is>
          <t>ÖREBRO LÄN</t>
        </is>
      </c>
      <c r="G34" t="inlineStr">
        <is>
          <t>LJUSNARSBERG</t>
        </is>
      </c>
      <c r="H34" t="inlineStr">
        <is>
          <t>Bergvik skog väst AB</t>
        </is>
      </c>
      <c r="I34" t="n">
        <v>4.3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s="2" t="inlineStr">
        <is>
          <t>Fläcknycklar</t>
        </is>
      </c>
      <c r="V34">
        <f>HYPERLINK("https://klasma.github.io/Logging_1864/artfynd/A 45537-2024 artfynd.xlsx", "A 45537-2024")</f>
        <v/>
      </c>
      <c r="W34">
        <f>HYPERLINK("https://klasma.github.io/Logging_1864/kartor/A 45537-2024 karta.png", "A 45537-2024")</f>
        <v/>
      </c>
      <c r="Y34">
        <f>HYPERLINK("https://klasma.github.io/Logging_1864/klagomål/A 45537-2024 FSC-klagomål.docx", "A 45537-2024")</f>
        <v/>
      </c>
      <c r="Z34">
        <f>HYPERLINK("https://klasma.github.io/Logging_1864/klagomålsmail/A 45537-2024 FSC-klagomål mail.docx", "A 45537-2024")</f>
        <v/>
      </c>
      <c r="AA34">
        <f>HYPERLINK("https://klasma.github.io/Logging_1864/tillsyn/A 45537-2024 tillsynsbegäran.docx", "A 45537-2024")</f>
        <v/>
      </c>
      <c r="AB34">
        <f>HYPERLINK("https://klasma.github.io/Logging_1864/tillsynsmail/A 45537-2024 tillsynsbegäran mail.docx", "A 45537-2024")</f>
        <v/>
      </c>
    </row>
    <row r="35" ht="15" customHeight="1">
      <c r="A35" t="inlineStr">
        <is>
          <t>S 3758-2024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45555</v>
      </c>
      <c r="E35" s="1" t="n">
        <v>46221</v>
      </c>
      <c r="F35" t="inlineStr">
        <is>
          <t>ÖREBRO LÄN</t>
        </is>
      </c>
      <c r="G35" t="inlineStr">
        <is>
          <t>LJUSNARSBERG</t>
        </is>
      </c>
      <c r="H35" t="inlineStr">
        <is>
          <t>Bergvik skog väst AB</t>
        </is>
      </c>
      <c r="I35" t="n">
        <v>14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Bårdlav</t>
        </is>
      </c>
      <c r="V35">
        <f>HYPERLINK("https://klasma.github.io/Logging_1864/artfynd/S 3758-2024 artfynd.xlsx", "S 3758-2024")</f>
        <v/>
      </c>
      <c r="W35">
        <f>HYPERLINK("https://klasma.github.io/Logging_1864/kartor/S 3758-2024 karta.png", "S 3758-2024")</f>
        <v/>
      </c>
      <c r="Y35">
        <f>HYPERLINK("https://klasma.github.io/Logging_1864/klagomål/S 3758-2024 FSC-klagomål.docx", "S 3758-2024")</f>
        <v/>
      </c>
      <c r="Z35">
        <f>HYPERLINK("https://klasma.github.io/Logging_1864/klagomålsmail/S 3758-2024 FSC-klagomål mail.docx", "S 3758-2024")</f>
        <v/>
      </c>
      <c r="AA35">
        <f>HYPERLINK("https://klasma.github.io/Logging_1864/tillsyn/S 3758-2024 tillsynsbegäran.docx", "S 3758-2024")</f>
        <v/>
      </c>
      <c r="AB35">
        <f>HYPERLINK("https://klasma.github.io/Logging_1864/tillsynsmail/S 3758-2024 tillsynsbegäran mail.docx", "S 3758-2024")</f>
        <v/>
      </c>
    </row>
    <row r="36" ht="15" customHeight="1">
      <c r="A36" t="inlineStr">
        <is>
          <t>A 64400-2021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44511</v>
      </c>
      <c r="E36" s="1" t="n">
        <v>46221</v>
      </c>
      <c r="F36" t="inlineStr">
        <is>
          <t>ÖREBRO LÄN</t>
        </is>
      </c>
      <c r="G36" t="inlineStr">
        <is>
          <t>LJUSNARSBERG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44858-2021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44438</v>
      </c>
      <c r="E37" s="1" t="n">
        <v>46221</v>
      </c>
      <c r="F37" t="inlineStr">
        <is>
          <t>ÖREBRO LÄN</t>
        </is>
      </c>
      <c r="G37" t="inlineStr">
        <is>
          <t>LJUSNARSBERG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45859-2021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46221</v>
      </c>
      <c r="F38" t="inlineStr">
        <is>
          <t>ÖREBRO LÄN</t>
        </is>
      </c>
      <c r="G38" t="inlineStr">
        <is>
          <t>LJUSNARSBERG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72157-2021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44544</v>
      </c>
      <c r="E39" s="1" t="n">
        <v>46221</v>
      </c>
      <c r="F39" t="inlineStr">
        <is>
          <t>ÖREBRO LÄN</t>
        </is>
      </c>
      <c r="G39" t="inlineStr">
        <is>
          <t>LJUSNARSBERG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64978-2021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44513</v>
      </c>
      <c r="E40" s="1" t="n">
        <v>46221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1320-2022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44572</v>
      </c>
      <c r="E41" s="1" t="n">
        <v>46221</v>
      </c>
      <c r="F41" t="inlineStr">
        <is>
          <t>ÖREBRO LÄN</t>
        </is>
      </c>
      <c r="G41" t="inlineStr">
        <is>
          <t>LJUSNARSBERG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32309-2022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44781</v>
      </c>
      <c r="E42" s="1" t="n">
        <v>46221</v>
      </c>
      <c r="F42" t="inlineStr">
        <is>
          <t>ÖREBRO LÄN</t>
        </is>
      </c>
      <c r="G42" t="inlineStr">
        <is>
          <t>LJUSNARSBERG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44293-2021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44435</v>
      </c>
      <c r="E43" s="1" t="n">
        <v>46221</v>
      </c>
      <c r="F43" t="inlineStr">
        <is>
          <t>ÖREBRO LÄN</t>
        </is>
      </c>
      <c r="G43" t="inlineStr">
        <is>
          <t>LJUSNARSBERG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39187-2021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44412</v>
      </c>
      <c r="E44" s="1" t="n">
        <v>46221</v>
      </c>
      <c r="F44" t="inlineStr">
        <is>
          <t>ÖREBRO LÄN</t>
        </is>
      </c>
      <c r="G44" t="inlineStr">
        <is>
          <t>LJUSNARSBERG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5636-2022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44595</v>
      </c>
      <c r="E45" s="1" t="n">
        <v>46221</v>
      </c>
      <c r="F45" t="inlineStr">
        <is>
          <t>ÖREBRO LÄN</t>
        </is>
      </c>
      <c r="G45" t="inlineStr">
        <is>
          <t>LJUSNARSBERG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25773-2022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44733</v>
      </c>
      <c r="E46" s="1" t="n">
        <v>46221</v>
      </c>
      <c r="F46" t="inlineStr">
        <is>
          <t>ÖREBRO LÄN</t>
        </is>
      </c>
      <c r="G46" t="inlineStr">
        <is>
          <t>LJUSNARSBERG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35976-2022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44690</v>
      </c>
      <c r="E47" s="1" t="n">
        <v>46221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38276-2022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46221</v>
      </c>
      <c r="F48" t="inlineStr">
        <is>
          <t>ÖREBRO LÄN</t>
        </is>
      </c>
      <c r="G48" t="inlineStr">
        <is>
          <t>LJUSNARSBERG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50552-2022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44866</v>
      </c>
      <c r="E49" s="1" t="n">
        <v>46221</v>
      </c>
      <c r="F49" t="inlineStr">
        <is>
          <t>ÖREBRO LÄN</t>
        </is>
      </c>
      <c r="G49" t="inlineStr">
        <is>
          <t>LJUSNARSBERG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44282-2021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44435</v>
      </c>
      <c r="E50" s="1" t="n">
        <v>46221</v>
      </c>
      <c r="F50" t="inlineStr">
        <is>
          <t>ÖREBRO LÄN</t>
        </is>
      </c>
      <c r="G50" t="inlineStr">
        <is>
          <t>LJUSNARSBERG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31998-2022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44778</v>
      </c>
      <c r="E51" s="1" t="n">
        <v>46221</v>
      </c>
      <c r="F51" t="inlineStr">
        <is>
          <t>ÖREBRO LÄN</t>
        </is>
      </c>
      <c r="G51" t="inlineStr">
        <is>
          <t>LJUSNARSBERG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33858-2022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44790</v>
      </c>
      <c r="E52" s="1" t="n">
        <v>46221</v>
      </c>
      <c r="F52" t="inlineStr">
        <is>
          <t>ÖREBRO LÄN</t>
        </is>
      </c>
      <c r="G52" t="inlineStr">
        <is>
          <t>LJUSNARSBERG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38277-2022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44812</v>
      </c>
      <c r="E53" s="1" t="n">
        <v>46221</v>
      </c>
      <c r="F53" t="inlineStr">
        <is>
          <t>ÖREBRO LÄN</t>
        </is>
      </c>
      <c r="G53" t="inlineStr">
        <is>
          <t>LJUSNARSBERG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48353-2022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44858</v>
      </c>
      <c r="E54" s="1" t="n">
        <v>46221</v>
      </c>
      <c r="F54" t="inlineStr">
        <is>
          <t>ÖREBRO LÄN</t>
        </is>
      </c>
      <c r="G54" t="inlineStr">
        <is>
          <t>LJUSNARSBERG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13803-2024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45390</v>
      </c>
      <c r="E55" s="1" t="n">
        <v>46221</v>
      </c>
      <c r="F55" t="inlineStr">
        <is>
          <t>ÖREBRO LÄN</t>
        </is>
      </c>
      <c r="G55" t="inlineStr">
        <is>
          <t>LJUSNARSBERG</t>
        </is>
      </c>
      <c r="H55" t="inlineStr">
        <is>
          <t>Bergvik skog väst AB</t>
        </is>
      </c>
      <c r="I55" t="n">
        <v>17.8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18975-2025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45764</v>
      </c>
      <c r="E56" s="1" t="n">
        <v>46221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53395-2021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44468</v>
      </c>
      <c r="E57" s="1" t="n">
        <v>46221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44780-2024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45574</v>
      </c>
      <c r="E58" s="1" t="n">
        <v>46221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7499-2024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45347</v>
      </c>
      <c r="E59" s="1" t="n">
        <v>46221</v>
      </c>
      <c r="F59" t="inlineStr">
        <is>
          <t>ÖREBRO LÄN</t>
        </is>
      </c>
      <c r="G59" t="inlineStr">
        <is>
          <t>LJUSNARSBERG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30774-2023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45112</v>
      </c>
      <c r="E60" s="1" t="n">
        <v>46221</v>
      </c>
      <c r="F60" t="inlineStr">
        <is>
          <t>ÖREBRO LÄN</t>
        </is>
      </c>
      <c r="G60" t="inlineStr">
        <is>
          <t>LJUSNARSBERG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17923-2024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45419</v>
      </c>
      <c r="E61" s="1" t="n">
        <v>46221</v>
      </c>
      <c r="F61" t="inlineStr">
        <is>
          <t>ÖREBRO LÄN</t>
        </is>
      </c>
      <c r="G61" t="inlineStr">
        <is>
          <t>LJUSNARSBERG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17924-2024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45419</v>
      </c>
      <c r="E62" s="1" t="n">
        <v>46221</v>
      </c>
      <c r="F62" t="inlineStr">
        <is>
          <t>ÖREBRO LÄN</t>
        </is>
      </c>
      <c r="G62" t="inlineStr">
        <is>
          <t>LJUSNARSBERG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33974-2023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45124</v>
      </c>
      <c r="E63" s="1" t="n">
        <v>46221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33979-2023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45124</v>
      </c>
      <c r="E64" s="1" t="n">
        <v>46221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53789-2022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44880</v>
      </c>
      <c r="E65" s="1" t="n">
        <v>46221</v>
      </c>
      <c r="F65" t="inlineStr">
        <is>
          <t>ÖREBRO LÄN</t>
        </is>
      </c>
      <c r="G65" t="inlineStr">
        <is>
          <t>LJUSNARSBERG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59497-2024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45638</v>
      </c>
      <c r="E66" s="1" t="n">
        <v>46221</v>
      </c>
      <c r="F66" t="inlineStr">
        <is>
          <t>ÖREBRO LÄN</t>
        </is>
      </c>
      <c r="G66" t="inlineStr">
        <is>
          <t>LJUSNARSBERG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22887-2024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45448</v>
      </c>
      <c r="E67" s="1" t="n">
        <v>46221</v>
      </c>
      <c r="F67" t="inlineStr">
        <is>
          <t>ÖREBRO LÄN</t>
        </is>
      </c>
      <c r="G67" t="inlineStr">
        <is>
          <t>LJUSNARSBERG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26469-2025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45807</v>
      </c>
      <c r="E68" s="1" t="n">
        <v>46221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12482-2023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44999</v>
      </c>
      <c r="E69" s="1" t="n">
        <v>46221</v>
      </c>
      <c r="F69" t="inlineStr">
        <is>
          <t>ÖREBRO LÄN</t>
        </is>
      </c>
      <c r="G69" t="inlineStr">
        <is>
          <t>LJUSNARSBERG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37148-2023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45155</v>
      </c>
      <c r="E70" s="1" t="n">
        <v>46221</v>
      </c>
      <c r="F70" t="inlineStr">
        <is>
          <t>ÖREBRO LÄN</t>
        </is>
      </c>
      <c r="G70" t="inlineStr">
        <is>
          <t>LJUSNARSBERG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20673-2025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45776</v>
      </c>
      <c r="E71" s="1" t="n">
        <v>46221</v>
      </c>
      <c r="F71" t="inlineStr">
        <is>
          <t>ÖREBRO LÄN</t>
        </is>
      </c>
      <c r="G71" t="inlineStr">
        <is>
          <t>LJUSNARSBERG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45538-2024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45578</v>
      </c>
      <c r="E72" s="1" t="n">
        <v>46221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59630-2024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45638</v>
      </c>
      <c r="E73" s="1" t="n">
        <v>46221</v>
      </c>
      <c r="F73" t="inlineStr">
        <is>
          <t>ÖREBRO LÄN</t>
        </is>
      </c>
      <c r="G73" t="inlineStr">
        <is>
          <t>LJUSNARSBERG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31357-2025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45832</v>
      </c>
      <c r="E74" s="1" t="n">
        <v>46221</v>
      </c>
      <c r="F74" t="inlineStr">
        <is>
          <t>ÖREBRO LÄN</t>
        </is>
      </c>
      <c r="G74" t="inlineStr">
        <is>
          <t>LJUSNARSBERG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44760-2024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45574</v>
      </c>
      <c r="E75" s="1" t="n">
        <v>46221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11.4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30002-2025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45826</v>
      </c>
      <c r="E76" s="1" t="n">
        <v>46221</v>
      </c>
      <c r="F76" t="inlineStr">
        <is>
          <t>ÖREBRO LÄN</t>
        </is>
      </c>
      <c r="G76" t="inlineStr">
        <is>
          <t>LJUSNARSBERG</t>
        </is>
      </c>
      <c r="H76" t="inlineStr">
        <is>
          <t>Sveaskog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29595-2025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45825</v>
      </c>
      <c r="E77" s="1" t="n">
        <v>46221</v>
      </c>
      <c r="F77" t="inlineStr">
        <is>
          <t>ÖREBRO LÄN</t>
        </is>
      </c>
      <c r="G77" t="inlineStr">
        <is>
          <t>LJUSNARSBERG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40477-2025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45895</v>
      </c>
      <c r="E78" s="1" t="n">
        <v>46221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11.9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40477-2025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45895</v>
      </c>
      <c r="E79" s="1" t="n">
        <v>46221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29572-2025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45825</v>
      </c>
      <c r="E80" s="1" t="n">
        <v>46221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44983-2024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45575</v>
      </c>
      <c r="E81" s="1" t="n">
        <v>46221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8.199999999999999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40852-2025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46221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8.699999999999999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41032-2025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45897</v>
      </c>
      <c r="E83" s="1" t="n">
        <v>46221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6.4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30430-2025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45827</v>
      </c>
      <c r="E84" s="1" t="n">
        <v>46221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2607-2023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44939</v>
      </c>
      <c r="E85" s="1" t="n">
        <v>46221</v>
      </c>
      <c r="F85" t="inlineStr">
        <is>
          <t>ÖREBRO LÄN</t>
        </is>
      </c>
      <c r="G85" t="inlineStr">
        <is>
          <t>LJUSNARSBERG</t>
        </is>
      </c>
      <c r="I85" t="n">
        <v>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30428-2025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45827</v>
      </c>
      <c r="E86" s="1" t="n">
        <v>46221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41383-2025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45898</v>
      </c>
      <c r="E87" s="1" t="n">
        <v>46221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8.199999999999999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40933-2025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45897</v>
      </c>
      <c r="E88" s="1" t="n">
        <v>46221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16.6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41017-2025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45897</v>
      </c>
      <c r="E89" s="1" t="n">
        <v>46221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41420-2025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45898</v>
      </c>
      <c r="E90" s="1" t="n">
        <v>46221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18.1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40964-2025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46221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30935-2025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45832</v>
      </c>
      <c r="E92" s="1" t="n">
        <v>46221</v>
      </c>
      <c r="F92" t="inlineStr">
        <is>
          <t>ÖREBRO LÄN</t>
        </is>
      </c>
      <c r="G92" t="inlineStr">
        <is>
          <t>LJUSNARSBERG</t>
        </is>
      </c>
      <c r="H92" t="inlineStr">
        <is>
          <t>Sveaskog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46805-2024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45583</v>
      </c>
      <c r="E93" s="1" t="n">
        <v>46221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42287-2025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45903</v>
      </c>
      <c r="E94" s="1" t="n">
        <v>46221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10.3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5094-2026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46049</v>
      </c>
      <c r="E95" s="1" t="n">
        <v>46221</v>
      </c>
      <c r="F95" t="inlineStr">
        <is>
          <t>ÖREBRO LÄN</t>
        </is>
      </c>
      <c r="G95" t="inlineStr">
        <is>
          <t>LJUSNARSBERG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43078-2025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45909</v>
      </c>
      <c r="E96" s="1" t="n">
        <v>46221</v>
      </c>
      <c r="F96" t="inlineStr">
        <is>
          <t>ÖREBRO LÄN</t>
        </is>
      </c>
      <c r="G96" t="inlineStr">
        <is>
          <t>LJUSNARSBERG</t>
        </is>
      </c>
      <c r="I96" t="n">
        <v>17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58823-2022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44903</v>
      </c>
      <c r="E97" s="1" t="n">
        <v>46221</v>
      </c>
      <c r="F97" t="inlineStr">
        <is>
          <t>ÖREBRO LÄN</t>
        </is>
      </c>
      <c r="G97" t="inlineStr">
        <is>
          <t>LJUSNARSBERG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25574-2023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45089</v>
      </c>
      <c r="E98" s="1" t="n">
        <v>46221</v>
      </c>
      <c r="F98" t="inlineStr">
        <is>
          <t>ÖREBRO LÄN</t>
        </is>
      </c>
      <c r="G98" t="inlineStr">
        <is>
          <t>LJUSNARSBERG</t>
        </is>
      </c>
      <c r="H98" t="inlineStr">
        <is>
          <t>Sveaskog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44479-2025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45916</v>
      </c>
      <c r="E99" s="1" t="n">
        <v>46221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40864-2025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45897</v>
      </c>
      <c r="E100" s="1" t="n">
        <v>46221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33622-2025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45841</v>
      </c>
      <c r="E101" s="1" t="n">
        <v>46221</v>
      </c>
      <c r="F101" t="inlineStr">
        <is>
          <t>ÖREBRO LÄN</t>
        </is>
      </c>
      <c r="G101" t="inlineStr">
        <is>
          <t>LJUSNARSBERG</t>
        </is>
      </c>
      <c r="H101" t="inlineStr">
        <is>
          <t>Kyrkan</t>
        </is>
      </c>
      <c r="I101" t="n">
        <v>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24921-2023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45085</v>
      </c>
      <c r="E102" s="1" t="n">
        <v>46221</v>
      </c>
      <c r="F102" t="inlineStr">
        <is>
          <t>ÖREBRO LÄN</t>
        </is>
      </c>
      <c r="G102" t="inlineStr">
        <is>
          <t>LJUSNARSBERG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46492-2025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45925</v>
      </c>
      <c r="E103" s="1" t="n">
        <v>46221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6.7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18938-2022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44690</v>
      </c>
      <c r="E104" s="1" t="n">
        <v>46221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41610-2025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45901</v>
      </c>
      <c r="E105" s="1" t="n">
        <v>46221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29721-2023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45107</v>
      </c>
      <c r="E106" s="1" t="n">
        <v>46221</v>
      </c>
      <c r="F106" t="inlineStr">
        <is>
          <t>ÖREBRO LÄN</t>
        </is>
      </c>
      <c r="G106" t="inlineStr">
        <is>
          <t>LJUSNARSBERG</t>
        </is>
      </c>
      <c r="H106" t="inlineStr">
        <is>
          <t>Sveaskog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47411-2025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45930</v>
      </c>
      <c r="E107" s="1" t="n">
        <v>46221</v>
      </c>
      <c r="F107" t="inlineStr">
        <is>
          <t>ÖREBRO LÄN</t>
        </is>
      </c>
      <c r="G107" t="inlineStr">
        <is>
          <t>LJUSNARSBERG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48501-2025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45936</v>
      </c>
      <c r="E108" s="1" t="n">
        <v>46221</v>
      </c>
      <c r="F108" t="inlineStr">
        <is>
          <t>ÖREBRO LÄN</t>
        </is>
      </c>
      <c r="G108" t="inlineStr">
        <is>
          <t>LJUSNARSBERG</t>
        </is>
      </c>
      <c r="H108" t="inlineStr">
        <is>
          <t>Sveaskog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48534-2025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45934</v>
      </c>
      <c r="E109" s="1" t="n">
        <v>46221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48540-2025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45934</v>
      </c>
      <c r="E110" s="1" t="n">
        <v>46221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48582-2025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45936</v>
      </c>
      <c r="E111" s="1" t="n">
        <v>46221</v>
      </c>
      <c r="F111" t="inlineStr">
        <is>
          <t>ÖREBRO LÄN</t>
        </is>
      </c>
      <c r="G111" t="inlineStr">
        <is>
          <t>LJUSNARSBERG</t>
        </is>
      </c>
      <c r="H111" t="inlineStr">
        <is>
          <t>Sveaskog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48542-2025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45934</v>
      </c>
      <c r="E112" s="1" t="n">
        <v>46221</v>
      </c>
      <c r="F112" t="inlineStr">
        <is>
          <t>ÖREBRO LÄN</t>
        </is>
      </c>
      <c r="G112" t="inlineStr">
        <is>
          <t>LJUSNARSBERG</t>
        </is>
      </c>
      <c r="H112" t="inlineStr">
        <is>
          <t>Bergvik skog väst AB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48506-2025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45936</v>
      </c>
      <c r="E113" s="1" t="n">
        <v>46221</v>
      </c>
      <c r="F113" t="inlineStr">
        <is>
          <t>ÖREBRO LÄN</t>
        </is>
      </c>
      <c r="G113" t="inlineStr">
        <is>
          <t>LJUSNARSBERG</t>
        </is>
      </c>
      <c r="H113" t="inlineStr">
        <is>
          <t>Sveaskog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48573-2025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45936</v>
      </c>
      <c r="E114" s="1" t="n">
        <v>46221</v>
      </c>
      <c r="F114" t="inlineStr">
        <is>
          <t>ÖREBRO LÄN</t>
        </is>
      </c>
      <c r="G114" t="inlineStr">
        <is>
          <t>LJUSNARSBERG</t>
        </is>
      </c>
      <c r="H114" t="inlineStr">
        <is>
          <t>Sveaskog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122-2025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45659</v>
      </c>
      <c r="E115" s="1" t="n">
        <v>46221</v>
      </c>
      <c r="F115" t="inlineStr">
        <is>
          <t>ÖREBRO LÄN</t>
        </is>
      </c>
      <c r="G115" t="inlineStr">
        <is>
          <t>LJUSNARSBERG</t>
        </is>
      </c>
      <c r="I115" t="n">
        <v>6.5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48204-2025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45933</v>
      </c>
      <c r="E116" s="1" t="n">
        <v>46221</v>
      </c>
      <c r="F116" t="inlineStr">
        <is>
          <t>ÖREBRO LÄN</t>
        </is>
      </c>
      <c r="G116" t="inlineStr">
        <is>
          <t>LJUSNARSBERG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48564-2025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45934</v>
      </c>
      <c r="E117" s="1" t="n">
        <v>46221</v>
      </c>
      <c r="F117" t="inlineStr">
        <is>
          <t>ÖREBRO LÄN</t>
        </is>
      </c>
      <c r="G117" t="inlineStr">
        <is>
          <t>LJUSNARSBERG</t>
        </is>
      </c>
      <c r="H117" t="inlineStr">
        <is>
          <t>Bergvik skog väst AB</t>
        </is>
      </c>
      <c r="I117" t="n">
        <v>7.2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59629-2024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45638</v>
      </c>
      <c r="E118" s="1" t="n">
        <v>46221</v>
      </c>
      <c r="F118" t="inlineStr">
        <is>
          <t>ÖREBRO LÄN</t>
        </is>
      </c>
      <c r="G118" t="inlineStr">
        <is>
          <t>LJUSNARSBERG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26617-2022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44739</v>
      </c>
      <c r="E119" s="1" t="n">
        <v>46221</v>
      </c>
      <c r="F119" t="inlineStr">
        <is>
          <t>ÖREBRO LÄN</t>
        </is>
      </c>
      <c r="G119" t="inlineStr">
        <is>
          <t>LJUSNARSBERG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19368-2025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45769</v>
      </c>
      <c r="E120" s="1" t="n">
        <v>46221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50865-2025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45946</v>
      </c>
      <c r="E121" s="1" t="n">
        <v>46221</v>
      </c>
      <c r="F121" t="inlineStr">
        <is>
          <t>ÖREBRO LÄN</t>
        </is>
      </c>
      <c r="G121" t="inlineStr">
        <is>
          <t>LJUSNARSBERG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59627-2024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45638</v>
      </c>
      <c r="E122" s="1" t="n">
        <v>46221</v>
      </c>
      <c r="F122" t="inlineStr">
        <is>
          <t>ÖREBRO LÄN</t>
        </is>
      </c>
      <c r="G122" t="inlineStr">
        <is>
          <t>LJUSNARSBERG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23346-2022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44720</v>
      </c>
      <c r="E123" s="1" t="n">
        <v>46221</v>
      </c>
      <c r="F123" t="inlineStr">
        <is>
          <t>ÖREBRO LÄN</t>
        </is>
      </c>
      <c r="G123" t="inlineStr">
        <is>
          <t>LJUSNARSBERG</t>
        </is>
      </c>
      <c r="H123" t="inlineStr">
        <is>
          <t>Bergvik skog väst AB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17933-2024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45419</v>
      </c>
      <c r="E124" s="1" t="n">
        <v>46221</v>
      </c>
      <c r="F124" t="inlineStr">
        <is>
          <t>ÖREBRO LÄN</t>
        </is>
      </c>
      <c r="G124" t="inlineStr">
        <is>
          <t>LJUSNARSBERG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23372-2022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44720</v>
      </c>
      <c r="E125" s="1" t="n">
        <v>46221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11.2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51693-2025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45951</v>
      </c>
      <c r="E126" s="1" t="n">
        <v>46221</v>
      </c>
      <c r="F126" t="inlineStr">
        <is>
          <t>ÖREBRO LÄN</t>
        </is>
      </c>
      <c r="G126" t="inlineStr">
        <is>
          <t>LJUSNARSBERG</t>
        </is>
      </c>
      <c r="I126" t="n">
        <v>10.8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26165-2022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44734</v>
      </c>
      <c r="E127" s="1" t="n">
        <v>46221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392-2022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44565</v>
      </c>
      <c r="E128" s="1" t="n">
        <v>46221</v>
      </c>
      <c r="F128" t="inlineStr">
        <is>
          <t>ÖREBRO LÄN</t>
        </is>
      </c>
      <c r="G128" t="inlineStr">
        <is>
          <t>LJUSNARSBERG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57400-2025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45980</v>
      </c>
      <c r="E129" s="1" t="n">
        <v>46221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8.5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57392-2025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45980</v>
      </c>
      <c r="E130" s="1" t="n">
        <v>46221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5.5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52489-2022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44874</v>
      </c>
      <c r="E131" s="1" t="n">
        <v>46221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30414-2023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45111</v>
      </c>
      <c r="E132" s="1" t="n">
        <v>46221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12.8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46263-2021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44442</v>
      </c>
      <c r="E133" s="1" t="n">
        <v>46221</v>
      </c>
      <c r="F133" t="inlineStr">
        <is>
          <t>ÖREBRO LÄN</t>
        </is>
      </c>
      <c r="G133" t="inlineStr">
        <is>
          <t>LJUSNARSBERG</t>
        </is>
      </c>
      <c r="I133" t="n">
        <v>8.699999999999999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62667-2022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44917</v>
      </c>
      <c r="E134" s="1" t="n">
        <v>46221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7.1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44788-2021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44438</v>
      </c>
      <c r="E135" s="1" t="n">
        <v>46221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25098-2023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45086</v>
      </c>
      <c r="E136" s="1" t="n">
        <v>46221</v>
      </c>
      <c r="F136" t="inlineStr">
        <is>
          <t>ÖREBRO LÄN</t>
        </is>
      </c>
      <c r="G136" t="inlineStr">
        <is>
          <t>LJUSNARSBERG</t>
        </is>
      </c>
      <c r="H136" t="inlineStr">
        <is>
          <t>Bergvik skog väst AB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61579-2025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46002</v>
      </c>
      <c r="E137" s="1" t="n">
        <v>46221</v>
      </c>
      <c r="F137" t="inlineStr">
        <is>
          <t>ÖREBRO LÄN</t>
        </is>
      </c>
      <c r="G137" t="inlineStr">
        <is>
          <t>LJUSNARSBERG</t>
        </is>
      </c>
      <c r="H137" t="inlineStr">
        <is>
          <t>Bergvik skog väst AB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14500-2024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45394</v>
      </c>
      <c r="E138" s="1" t="n">
        <v>46221</v>
      </c>
      <c r="F138" t="inlineStr">
        <is>
          <t>ÖREBRO LÄN</t>
        </is>
      </c>
      <c r="G138" t="inlineStr">
        <is>
          <t>LJUSNARSBERG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63411-2025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46013</v>
      </c>
      <c r="E139" s="1" t="n">
        <v>46221</v>
      </c>
      <c r="F139" t="inlineStr">
        <is>
          <t>ÖREBRO LÄN</t>
        </is>
      </c>
      <c r="G139" t="inlineStr">
        <is>
          <t>LJUSNARSBERG</t>
        </is>
      </c>
      <c r="H139" t="inlineStr">
        <is>
          <t>Bergvik skog väst AB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2667-2026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46037</v>
      </c>
      <c r="E140" s="1" t="n">
        <v>46221</v>
      </c>
      <c r="F140" t="inlineStr">
        <is>
          <t>ÖREBRO LÄN</t>
        </is>
      </c>
      <c r="G140" t="inlineStr">
        <is>
          <t>LJUSNARSBERG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67746-2021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44524</v>
      </c>
      <c r="E141" s="1" t="n">
        <v>46221</v>
      </c>
      <c r="F141" t="inlineStr">
        <is>
          <t>ÖREBRO LÄN</t>
        </is>
      </c>
      <c r="G141" t="inlineStr">
        <is>
          <t>LJUSNARSBERG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62679-2022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44917</v>
      </c>
      <c r="E142" s="1" t="n">
        <v>46221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46082-2024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45581</v>
      </c>
      <c r="E143" s="1" t="n">
        <v>46221</v>
      </c>
      <c r="F143" t="inlineStr">
        <is>
          <t>ÖREBRO LÄN</t>
        </is>
      </c>
      <c r="G143" t="inlineStr">
        <is>
          <t>LJUSNARSBERG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289-2022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44564</v>
      </c>
      <c r="E144" s="1" t="n">
        <v>46221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6.8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46801-2024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45583</v>
      </c>
      <c r="E145" s="1" t="n">
        <v>46221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16.8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19738-2026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46133</v>
      </c>
      <c r="E146" s="1" t="n">
        <v>46221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14.5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25671-2024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45463</v>
      </c>
      <c r="E147" s="1" t="n">
        <v>46221</v>
      </c>
      <c r="F147" t="inlineStr">
        <is>
          <t>ÖREBRO LÄN</t>
        </is>
      </c>
      <c r="G147" t="inlineStr">
        <is>
          <t>LJUSNARSBERG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19936-2026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46136</v>
      </c>
      <c r="E148" s="1" t="n">
        <v>46221</v>
      </c>
      <c r="F148" t="inlineStr">
        <is>
          <t>ÖREBRO LÄN</t>
        </is>
      </c>
      <c r="G148" t="inlineStr">
        <is>
          <t>LJUSNARSBERG</t>
        </is>
      </c>
      <c r="H148" t="inlineStr">
        <is>
          <t>Sveaskog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19937-2026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46136</v>
      </c>
      <c r="E149" s="1" t="n">
        <v>46221</v>
      </c>
      <c r="F149" t="inlineStr">
        <is>
          <t>ÖREBRO LÄN</t>
        </is>
      </c>
      <c r="G149" t="inlineStr">
        <is>
          <t>LJUSNARSBERG</t>
        </is>
      </c>
      <c r="H149" t="inlineStr">
        <is>
          <t>Sveaskog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50524-2023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45217</v>
      </c>
      <c r="E150" s="1" t="n">
        <v>46221</v>
      </c>
      <c r="F150" t="inlineStr">
        <is>
          <t>ÖREBRO LÄN</t>
        </is>
      </c>
      <c r="G150" t="inlineStr">
        <is>
          <t>LJUSNARSBERG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61794-2024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45649</v>
      </c>
      <c r="E151" s="1" t="n">
        <v>46221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31295-2023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45103</v>
      </c>
      <c r="E152" s="1" t="n">
        <v>46221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27343-2025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45812</v>
      </c>
      <c r="E153" s="1" t="n">
        <v>46221</v>
      </c>
      <c r="F153" t="inlineStr">
        <is>
          <t>ÖREBRO LÄN</t>
        </is>
      </c>
      <c r="G153" t="inlineStr">
        <is>
          <t>LJUSNARSBERG</t>
        </is>
      </c>
      <c r="H153" t="inlineStr">
        <is>
          <t>Sveaskog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46085-2024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45581</v>
      </c>
      <c r="E154" s="1" t="n">
        <v>46221</v>
      </c>
      <c r="F154" t="inlineStr">
        <is>
          <t>ÖREBRO LÄN</t>
        </is>
      </c>
      <c r="G154" t="inlineStr">
        <is>
          <t>LJUSNARSBERG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52366-2024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45608</v>
      </c>
      <c r="E155" s="1" t="n">
        <v>46221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36108-2024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45533</v>
      </c>
      <c r="E156" s="1" t="n">
        <v>46221</v>
      </c>
      <c r="F156" t="inlineStr">
        <is>
          <t>ÖREBRO LÄN</t>
        </is>
      </c>
      <c r="G156" t="inlineStr">
        <is>
          <t>LJUSNARSBERG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19857-2022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44694</v>
      </c>
      <c r="E157" s="1" t="n">
        <v>46221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33976-2023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45124</v>
      </c>
      <c r="E158" s="1" t="n">
        <v>46221</v>
      </c>
      <c r="F158" t="inlineStr">
        <is>
          <t>ÖREBRO LÄN</t>
        </is>
      </c>
      <c r="G158" t="inlineStr">
        <is>
          <t>LJUSNARSBERG</t>
        </is>
      </c>
      <c r="H158" t="inlineStr">
        <is>
          <t>Bergvik skog väst AB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43638-2025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45911</v>
      </c>
      <c r="E159" s="1" t="n">
        <v>46221</v>
      </c>
      <c r="F159" t="inlineStr">
        <is>
          <t>ÖREBRO LÄN</t>
        </is>
      </c>
      <c r="G159" t="inlineStr">
        <is>
          <t>LJUSNARSBERG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26379-2026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46183</v>
      </c>
      <c r="E160" s="1" t="n">
        <v>46221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55787-2023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45239</v>
      </c>
      <c r="E161" s="1" t="n">
        <v>46221</v>
      </c>
      <c r="F161" t="inlineStr">
        <is>
          <t>ÖREBRO LÄN</t>
        </is>
      </c>
      <c r="G161" t="inlineStr">
        <is>
          <t>LJUSNARSBERG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33861-2022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44790</v>
      </c>
      <c r="E162" s="1" t="n">
        <v>46221</v>
      </c>
      <c r="F162" t="inlineStr">
        <is>
          <t>ÖREBRO LÄN</t>
        </is>
      </c>
      <c r="G162" t="inlineStr">
        <is>
          <t>LJUSNARSBERG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37066-2023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45155</v>
      </c>
      <c r="E163" s="1" t="n">
        <v>46221</v>
      </c>
      <c r="F163" t="inlineStr">
        <is>
          <t>ÖREBRO LÄN</t>
        </is>
      </c>
      <c r="G163" t="inlineStr">
        <is>
          <t>LJUSNARSBERG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26847-2026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46185</v>
      </c>
      <c r="E164" s="1" t="n">
        <v>46221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14.5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21186-2026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46146</v>
      </c>
      <c r="E165" s="1" t="n">
        <v>46221</v>
      </c>
      <c r="F165" t="inlineStr">
        <is>
          <t>ÖREBRO LÄN</t>
        </is>
      </c>
      <c r="G165" t="inlineStr">
        <is>
          <t>LJUSNARSBERG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21202-2026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46146</v>
      </c>
      <c r="E166" s="1" t="n">
        <v>46221</v>
      </c>
      <c r="F166" t="inlineStr">
        <is>
          <t>ÖREBRO LÄN</t>
        </is>
      </c>
      <c r="G166" t="inlineStr">
        <is>
          <t>LJUSNARSBERG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57129-2021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44482</v>
      </c>
      <c r="E167" s="1" t="n">
        <v>46221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17.8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12489-2023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44999</v>
      </c>
      <c r="E168" s="1" t="n">
        <v>46221</v>
      </c>
      <c r="F168" t="inlineStr">
        <is>
          <t>ÖREBRO LÄN</t>
        </is>
      </c>
      <c r="G168" t="inlineStr">
        <is>
          <t>LJUSNARSBERG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15114-2024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45399</v>
      </c>
      <c r="E169" s="1" t="n">
        <v>46221</v>
      </c>
      <c r="F169" t="inlineStr">
        <is>
          <t>ÖREBRO LÄN</t>
        </is>
      </c>
      <c r="G169" t="inlineStr">
        <is>
          <t>LJUSNARSBERG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46146-2022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44847</v>
      </c>
      <c r="E170" s="1" t="n">
        <v>46221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47017-2025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45929</v>
      </c>
      <c r="E171" s="1" t="n">
        <v>46221</v>
      </c>
      <c r="F171" t="inlineStr">
        <is>
          <t>ÖREBRO LÄN</t>
        </is>
      </c>
      <c r="G171" t="inlineStr">
        <is>
          <t>LJUSNARSBERG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22366-2026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46154</v>
      </c>
      <c r="E172" s="1" t="n">
        <v>46221</v>
      </c>
      <c r="F172" t="inlineStr">
        <is>
          <t>ÖREBRO LÄN</t>
        </is>
      </c>
      <c r="G172" t="inlineStr">
        <is>
          <t>LJUSNARSBERG</t>
        </is>
      </c>
      <c r="I172" t="n">
        <v>14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7903-2022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44607</v>
      </c>
      <c r="E173" s="1" t="n">
        <v>46221</v>
      </c>
      <c r="F173" t="inlineStr">
        <is>
          <t>ÖREBRO LÄN</t>
        </is>
      </c>
      <c r="G173" t="inlineStr">
        <is>
          <t>LJUSNARSBERG</t>
        </is>
      </c>
      <c r="H173" t="inlineStr">
        <is>
          <t>Kyrkan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62843-2021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44503</v>
      </c>
      <c r="E174" s="1" t="n">
        <v>46221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42761-2023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45177</v>
      </c>
      <c r="E175" s="1" t="n">
        <v>46221</v>
      </c>
      <c r="F175" t="inlineStr">
        <is>
          <t>ÖREBRO LÄN</t>
        </is>
      </c>
      <c r="G175" t="inlineStr">
        <is>
          <t>LJUSNARSBERG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32880-2025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45839</v>
      </c>
      <c r="E176" s="1" t="n">
        <v>46221</v>
      </c>
      <c r="F176" t="inlineStr">
        <is>
          <t>ÖREBRO LÄN</t>
        </is>
      </c>
      <c r="G176" t="inlineStr">
        <is>
          <t>LJUSNARSBERG</t>
        </is>
      </c>
      <c r="H176" t="inlineStr">
        <is>
          <t>Kommuner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61580-2023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45265</v>
      </c>
      <c r="E177" s="1" t="n">
        <v>46221</v>
      </c>
      <c r="F177" t="inlineStr">
        <is>
          <t>ÖREBRO LÄN</t>
        </is>
      </c>
      <c r="G177" t="inlineStr">
        <is>
          <t>LJUSNARSBERG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53595-2024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45614</v>
      </c>
      <c r="E178" s="1" t="n">
        <v>46221</v>
      </c>
      <c r="F178" t="inlineStr">
        <is>
          <t>ÖREBRO LÄN</t>
        </is>
      </c>
      <c r="G178" t="inlineStr">
        <is>
          <t>LJUSNARSBERG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57090-2022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44895</v>
      </c>
      <c r="E179" s="1" t="n">
        <v>46221</v>
      </c>
      <c r="F179" t="inlineStr">
        <is>
          <t>ÖREBRO LÄN</t>
        </is>
      </c>
      <c r="G179" t="inlineStr">
        <is>
          <t>LJUSNARSBERG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17276-2023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45035</v>
      </c>
      <c r="E180" s="1" t="n">
        <v>46221</v>
      </c>
      <c r="F180" t="inlineStr">
        <is>
          <t>ÖREBRO LÄN</t>
        </is>
      </c>
      <c r="G180" t="inlineStr">
        <is>
          <t>LJUSNARSBERG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23633-2026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46163</v>
      </c>
      <c r="E181" s="1" t="n">
        <v>46221</v>
      </c>
      <c r="F181" t="inlineStr">
        <is>
          <t>ÖREBRO LÄN</t>
        </is>
      </c>
      <c r="G181" t="inlineStr">
        <is>
          <t>LJUSNARSBERG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35151-2023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45145</v>
      </c>
      <c r="E182" s="1" t="n">
        <v>46221</v>
      </c>
      <c r="F182" t="inlineStr">
        <is>
          <t>ÖREBRO LÄN</t>
        </is>
      </c>
      <c r="G182" t="inlineStr">
        <is>
          <t>LJUSNARSBERG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62421-2022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44916</v>
      </c>
      <c r="E183" s="1" t="n">
        <v>46221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16613-2023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45030</v>
      </c>
      <c r="E184" s="1" t="n">
        <v>46221</v>
      </c>
      <c r="F184" t="inlineStr">
        <is>
          <t>ÖREBRO LÄN</t>
        </is>
      </c>
      <c r="G184" t="inlineStr">
        <is>
          <t>LJUSNARSBERG</t>
        </is>
      </c>
      <c r="H184" t="inlineStr">
        <is>
          <t>Sveaskog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24363-2026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46167</v>
      </c>
      <c r="E185" s="1" t="n">
        <v>46221</v>
      </c>
      <c r="F185" t="inlineStr">
        <is>
          <t>ÖREBRO LÄN</t>
        </is>
      </c>
      <c r="G185" t="inlineStr">
        <is>
          <t>LJUSNARSBERG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24343-2026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46167</v>
      </c>
      <c r="E186" s="1" t="n">
        <v>46221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24350-2026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46167</v>
      </c>
      <c r="E187" s="1" t="n">
        <v>46221</v>
      </c>
      <c r="F187" t="inlineStr">
        <is>
          <t>ÖREBRO LÄN</t>
        </is>
      </c>
      <c r="G187" t="inlineStr">
        <is>
          <t>LJUSNARSBERG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24319-2026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46167</v>
      </c>
      <c r="E188" s="1" t="n">
        <v>46221</v>
      </c>
      <c r="F188" t="inlineStr">
        <is>
          <t>ÖREBRO LÄN</t>
        </is>
      </c>
      <c r="G188" t="inlineStr">
        <is>
          <t>LJUSNARSBERG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45539-2024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45578</v>
      </c>
      <c r="E189" s="1" t="n">
        <v>46221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29436-2023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45106</v>
      </c>
      <c r="E190" s="1" t="n">
        <v>46221</v>
      </c>
      <c r="F190" t="inlineStr">
        <is>
          <t>ÖREBRO LÄN</t>
        </is>
      </c>
      <c r="G190" t="inlineStr">
        <is>
          <t>LJUSNARSBERG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31167-2023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45103</v>
      </c>
      <c r="E191" s="1" t="n">
        <v>46221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18932-2022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44690</v>
      </c>
      <c r="E192" s="1" t="n">
        <v>46221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59495-2024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45638</v>
      </c>
      <c r="E193" s="1" t="n">
        <v>46221</v>
      </c>
      <c r="F193" t="inlineStr">
        <is>
          <t>ÖREBRO LÄN</t>
        </is>
      </c>
      <c r="G193" t="inlineStr">
        <is>
          <t>LJUSNARSBERG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62810-2021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44503</v>
      </c>
      <c r="E194" s="1" t="n">
        <v>46221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31162-2023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45103</v>
      </c>
      <c r="E195" s="1" t="n">
        <v>46221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10.4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28778-2024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45478</v>
      </c>
      <c r="E196" s="1" t="n">
        <v>46221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5.6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13389-2024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45387</v>
      </c>
      <c r="E197" s="1" t="n">
        <v>46221</v>
      </c>
      <c r="F197" t="inlineStr">
        <is>
          <t>ÖREBRO LÄN</t>
        </is>
      </c>
      <c r="G197" t="inlineStr">
        <is>
          <t>LJUSNARSBERG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6313-2025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45698</v>
      </c>
      <c r="E198" s="1" t="n">
        <v>46221</v>
      </c>
      <c r="F198" t="inlineStr">
        <is>
          <t>ÖREBRO LÄN</t>
        </is>
      </c>
      <c r="G198" t="inlineStr">
        <is>
          <t>LJUSNARSBERG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48780-2024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45593</v>
      </c>
      <c r="E199" s="1" t="n">
        <v>46221</v>
      </c>
      <c r="F199" t="inlineStr">
        <is>
          <t>ÖREBRO LÄN</t>
        </is>
      </c>
      <c r="G199" t="inlineStr">
        <is>
          <t>LJUSNARSBERG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30172-2023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45110</v>
      </c>
      <c r="E200" s="1" t="n">
        <v>46221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34926-2023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45142</v>
      </c>
      <c r="E201" s="1" t="n">
        <v>46221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4989-2023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44956</v>
      </c>
      <c r="E202" s="1" t="n">
        <v>46221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31763-2023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45106</v>
      </c>
      <c r="E203" s="1" t="n">
        <v>46221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11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24385-2025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45797</v>
      </c>
      <c r="E204" s="1" t="n">
        <v>46221</v>
      </c>
      <c r="F204" t="inlineStr">
        <is>
          <t>ÖREBRO LÄN</t>
        </is>
      </c>
      <c r="G204" t="inlineStr">
        <is>
          <t>LJUSNARSBERG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S 3541-2022</t>
        </is>
      </c>
      <c r="B205" t="inlineStr">
        <is>
          <t>samrådsanmälan</t>
        </is>
      </c>
      <c r="C205" t="inlineStr">
        <is>
          <t>Skogsbilväg</t>
        </is>
      </c>
      <c r="D205" s="1" t="n">
        <v>44734</v>
      </c>
      <c r="E205" s="1" t="n">
        <v>46221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S 10473-2021</t>
        </is>
      </c>
      <c r="B206" t="inlineStr">
        <is>
          <t>samrådsanmälan</t>
        </is>
      </c>
      <c r="C206" t="inlineStr">
        <is>
          <t>Skogsbilväg</t>
        </is>
      </c>
      <c r="D206" s="1" t="n">
        <v>44559</v>
      </c>
      <c r="E206" s="1" t="n">
        <v>46221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S 410-2022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44585</v>
      </c>
      <c r="E207" s="1" t="n">
        <v>46221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36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S 1099-2022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44615</v>
      </c>
      <c r="E208" s="1" t="n">
        <v>46221</v>
      </c>
      <c r="F208" t="inlineStr">
        <is>
          <t>ÖREBRO LÄN</t>
        </is>
      </c>
      <c r="G208" t="inlineStr">
        <is>
          <t>LJUSNARSBERG</t>
        </is>
      </c>
      <c r="H208" t="inlineStr">
        <is>
          <t>Sveaskog</t>
        </is>
      </c>
      <c r="I208" t="n">
        <v>147.4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S 880-2024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45376</v>
      </c>
      <c r="E209" s="1" t="n">
        <v>46221</v>
      </c>
      <c r="F209" t="inlineStr">
        <is>
          <t>ÖREBRO LÄN</t>
        </is>
      </c>
      <c r="G209" t="inlineStr">
        <is>
          <t>LJUSNARSBERG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S 3528-2023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45205</v>
      </c>
      <c r="E210" s="1" t="n">
        <v>46221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39.4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S 7278-2021</t>
        </is>
      </c>
      <c r="B211" t="inlineStr">
        <is>
          <t>samrådsanmälan</t>
        </is>
      </c>
      <c r="C211" t="inlineStr">
        <is>
          <t>Åtgärd i nyckelbiotop</t>
        </is>
      </c>
      <c r="D211" s="1" t="n">
        <v>44467</v>
      </c>
      <c r="E211" s="1" t="n">
        <v>46221</v>
      </c>
      <c r="F211" t="inlineStr">
        <is>
          <t>ÖREBRO LÄN</t>
        </is>
      </c>
      <c r="G211" t="inlineStr">
        <is>
          <t>LJUSNARSBERG</t>
        </is>
      </c>
      <c r="H211" t="inlineStr">
        <is>
          <t>Kommuner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S 4521-2023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45275</v>
      </c>
      <c r="E212" s="1" t="n">
        <v>46221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20.7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S 7277-2021</t>
        </is>
      </c>
      <c r="B213" t="inlineStr">
        <is>
          <t>samrådsanmälan</t>
        </is>
      </c>
      <c r="C213" t="inlineStr">
        <is>
          <t>Åtgärd i nyckelbiotop</t>
        </is>
      </c>
      <c r="D213" s="1" t="n">
        <v>44467</v>
      </c>
      <c r="E213" s="1" t="n">
        <v>46221</v>
      </c>
      <c r="F213" t="inlineStr">
        <is>
          <t>ÖREBRO LÄN</t>
        </is>
      </c>
      <c r="G213" t="inlineStr">
        <is>
          <t>LJUSNARSBERG</t>
        </is>
      </c>
      <c r="H213" t="inlineStr">
        <is>
          <t>Kommuner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S 2836-2023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45167</v>
      </c>
      <c r="E214" s="1" t="n">
        <v>46221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25.2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S 707-2025</t>
        </is>
      </c>
      <c r="B215" t="inlineStr">
        <is>
          <t>samrådsanmälan</t>
        </is>
      </c>
      <c r="C215" t="inlineStr">
        <is>
          <t>Skogsgödsling</t>
        </is>
      </c>
      <c r="D215" s="1" t="n">
        <v>45720</v>
      </c>
      <c r="E215" s="1" t="n">
        <v>46221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162.6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S 1972-2025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45832</v>
      </c>
      <c r="E216" s="1" t="n">
        <v>46221</v>
      </c>
      <c r="F216" t="inlineStr">
        <is>
          <t>ÖREBRO LÄN</t>
        </is>
      </c>
      <c r="G216" t="inlineStr">
        <is>
          <t>LJUSNARSBERG</t>
        </is>
      </c>
      <c r="H216" t="inlineStr">
        <is>
          <t>Sveaskog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S 3578-2025</t>
        </is>
      </c>
      <c r="B217" t="inlineStr">
        <is>
          <t>samrådsanmälan</t>
        </is>
      </c>
      <c r="C217" t="inlineStr">
        <is>
          <t>Skogsgödsling</t>
        </is>
      </c>
      <c r="D217" s="1" t="n">
        <v>46010</v>
      </c>
      <c r="E217" s="1" t="n">
        <v>46221</v>
      </c>
      <c r="F217" t="inlineStr">
        <is>
          <t>ÖREBRO LÄN</t>
        </is>
      </c>
      <c r="G217" t="inlineStr">
        <is>
          <t>LJUSNARSBERG</t>
        </is>
      </c>
      <c r="H217" t="inlineStr">
        <is>
          <t>Bergvik skog väst AB</t>
        </is>
      </c>
      <c r="I217" t="n">
        <v>24.4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S 603-2026</t>
        </is>
      </c>
      <c r="B218" t="inlineStr">
        <is>
          <t>samrådsanmälan</t>
        </is>
      </c>
      <c r="C218" t="inlineStr">
        <is>
          <t>Skogsgödsling</t>
        </is>
      </c>
      <c r="D218" s="1" t="n">
        <v>46085</v>
      </c>
      <c r="E218" s="1" t="n">
        <v>46221</v>
      </c>
      <c r="F218" t="inlineStr">
        <is>
          <t>ÖREBRO LÄN</t>
        </is>
      </c>
      <c r="G218" t="inlineStr">
        <is>
          <t>LJUSNARSBERG</t>
        </is>
      </c>
      <c r="H218" t="inlineStr">
        <is>
          <t>Bergvik skog väst AB</t>
        </is>
      </c>
      <c r="I218" t="n">
        <v>125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>
      <c r="A219" t="inlineStr">
        <is>
          <t>S 1743-2026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46185</v>
      </c>
      <c r="E219" s="1" t="n">
        <v>46221</v>
      </c>
      <c r="F219" t="inlineStr">
        <is>
          <t>ÖREBRO LÄN</t>
        </is>
      </c>
      <c r="G219" t="inlineStr">
        <is>
          <t>LJUSNARSBERG</t>
        </is>
      </c>
      <c r="H219" t="inlineStr">
        <is>
          <t>Bergvik skog väst AB</t>
        </is>
      </c>
      <c r="I219" t="n">
        <v>16.8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2026-07-18T01:23:24Z</dcterms:created>
  <dcterms:modified xmlns:dcterms="http://purl.org/dc/terms/" xmlns:xsi="http://www.w3.org/2001/XMLSchema-instance" xsi:type="dcterms:W3CDTF">2026-07-18T01:23:24Z</dcterms:modified>
</cp:coreProperties>
</file>