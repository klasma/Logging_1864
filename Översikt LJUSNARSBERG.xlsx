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45878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45878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45878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Motaggsvamp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41623-2024</t>
        </is>
      </c>
      <c r="B5" s="1" t="n">
        <v>45560</v>
      </c>
      <c r="C5" s="1" t="n">
        <v>45878</v>
      </c>
      <c r="D5" t="inlineStr">
        <is>
          <t>ÖREBRO LÄN</t>
        </is>
      </c>
      <c r="E5" t="inlineStr">
        <is>
          <t>LJUSNARSBERG</t>
        </is>
      </c>
      <c r="G5" t="n">
        <v>0.5</v>
      </c>
      <c r="H5" t="n">
        <v>0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Skuggmalmätare
Brunflammig fältmätare
Glimmalmätare
Ligusterfly</t>
        </is>
      </c>
      <c r="S5">
        <f>HYPERLINK("https://klasma.github.io/Logging_1864/artfynd/A 41623-2024 artfynd.xlsx", "A 41623-2024")</f>
        <v/>
      </c>
      <c r="T5">
        <f>HYPERLINK("https://klasma.github.io/Logging_1864/kartor/A 41623-2024 karta.png", "A 41623-2024")</f>
        <v/>
      </c>
      <c r="V5">
        <f>HYPERLINK("https://klasma.github.io/Logging_1864/klagomål/A 41623-2024 FSC-klagomål.docx", "A 41623-2024")</f>
        <v/>
      </c>
      <c r="W5">
        <f>HYPERLINK("https://klasma.github.io/Logging_1864/klagomålsmail/A 41623-2024 FSC-klagomål mail.docx", "A 41623-2024")</f>
        <v/>
      </c>
      <c r="X5">
        <f>HYPERLINK("https://klasma.github.io/Logging_1864/tillsyn/A 41623-2024 tillsynsbegäran.docx", "A 41623-2024")</f>
        <v/>
      </c>
      <c r="Y5">
        <f>HYPERLINK("https://klasma.github.io/Logging_1864/tillsynsmail/A 41623-2024 tillsynsbegäran mail.docx", "A 41623-2024")</f>
        <v/>
      </c>
    </row>
    <row r="6" ht="15" customHeight="1">
      <c r="A6" t="inlineStr">
        <is>
          <t>A 43996-2021</t>
        </is>
      </c>
      <c r="B6" s="1" t="n">
        <v>44434</v>
      </c>
      <c r="C6" s="1" t="n">
        <v>45878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8.4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Fläcknycklar
Nattviol</t>
        </is>
      </c>
      <c r="S6">
        <f>HYPERLINK("https://klasma.github.io/Logging_1864/artfynd/A 43996-2021 artfynd.xlsx", "A 43996-2021")</f>
        <v/>
      </c>
      <c r="T6">
        <f>HYPERLINK("https://klasma.github.io/Logging_1864/kartor/A 43996-2021 karta.png", "A 43996-2021")</f>
        <v/>
      </c>
      <c r="V6">
        <f>HYPERLINK("https://klasma.github.io/Logging_1864/klagomål/A 43996-2021 FSC-klagomål.docx", "A 43996-2021")</f>
        <v/>
      </c>
      <c r="W6">
        <f>HYPERLINK("https://klasma.github.io/Logging_1864/klagomålsmail/A 43996-2021 FSC-klagomål mail.docx", "A 43996-2021")</f>
        <v/>
      </c>
      <c r="X6">
        <f>HYPERLINK("https://klasma.github.io/Logging_1864/tillsyn/A 43996-2021 tillsynsbegäran.docx", "A 43996-2021")</f>
        <v/>
      </c>
      <c r="Y6">
        <f>HYPERLINK("https://klasma.github.io/Logging_1864/tillsynsmail/A 43996-2021 tillsynsbegäran mail.docx", "A 43996-2021")</f>
        <v/>
      </c>
    </row>
    <row r="7" ht="15" customHeight="1">
      <c r="A7" t="inlineStr">
        <is>
          <t>A 60562-2024</t>
        </is>
      </c>
      <c r="B7" s="1" t="n">
        <v>45642</v>
      </c>
      <c r="C7" s="1" t="n">
        <v>45878</v>
      </c>
      <c r="D7" t="inlineStr">
        <is>
          <t>ÖREBRO LÄN</t>
        </is>
      </c>
      <c r="E7" t="inlineStr">
        <is>
          <t>LJUSNARSBERG</t>
        </is>
      </c>
      <c r="G7" t="n">
        <v>15.4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Bollvitmossa
Rödgul trumpetsvamp</t>
        </is>
      </c>
      <c r="S7">
        <f>HYPERLINK("https://klasma.github.io/Logging_1864/artfynd/A 60562-2024 artfynd.xlsx", "A 60562-2024")</f>
        <v/>
      </c>
      <c r="T7">
        <f>HYPERLINK("https://klasma.github.io/Logging_1864/kartor/A 60562-2024 karta.png", "A 60562-2024")</f>
        <v/>
      </c>
      <c r="V7">
        <f>HYPERLINK("https://klasma.github.io/Logging_1864/klagomål/A 60562-2024 FSC-klagomål.docx", "A 60562-2024")</f>
        <v/>
      </c>
      <c r="W7">
        <f>HYPERLINK("https://klasma.github.io/Logging_1864/klagomålsmail/A 60562-2024 FSC-klagomål mail.docx", "A 60562-2024")</f>
        <v/>
      </c>
      <c r="X7">
        <f>HYPERLINK("https://klasma.github.io/Logging_1864/tillsyn/A 60562-2024 tillsynsbegäran.docx", "A 60562-2024")</f>
        <v/>
      </c>
      <c r="Y7">
        <f>HYPERLINK("https://klasma.github.io/Logging_1864/tillsynsmail/A 60562-2024 tillsynsbegäran mail.docx", "A 60562-2024")</f>
        <v/>
      </c>
    </row>
    <row r="8" ht="15" customHeight="1">
      <c r="A8" t="inlineStr">
        <is>
          <t>A 65216-2021</t>
        </is>
      </c>
      <c r="B8" s="1" t="n">
        <v>44515</v>
      </c>
      <c r="C8" s="1" t="n">
        <v>45878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1.9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Brunpudrad nållav
Garnlav
Mindre märgborre</t>
        </is>
      </c>
      <c r="S8">
        <f>HYPERLINK("https://klasma.github.io/Logging_1864/artfynd/A 65216-2021 artfynd.xlsx", "A 65216-2021")</f>
        <v/>
      </c>
      <c r="T8">
        <f>HYPERLINK("https://klasma.github.io/Logging_1864/kartor/A 65216-2021 karta.png", "A 65216-2021")</f>
        <v/>
      </c>
      <c r="V8">
        <f>HYPERLINK("https://klasma.github.io/Logging_1864/klagomål/A 65216-2021 FSC-klagomål.docx", "A 65216-2021")</f>
        <v/>
      </c>
      <c r="W8">
        <f>HYPERLINK("https://klasma.github.io/Logging_1864/klagomålsmail/A 65216-2021 FSC-klagomål mail.docx", "A 65216-2021")</f>
        <v/>
      </c>
      <c r="X8">
        <f>HYPERLINK("https://klasma.github.io/Logging_1864/tillsyn/A 65216-2021 tillsynsbegäran.docx", "A 65216-2021")</f>
        <v/>
      </c>
      <c r="Y8">
        <f>HYPERLINK("https://klasma.github.io/Logging_1864/tillsynsmail/A 65216-2021 tillsynsbegäran mail.docx", "A 65216-2021")</f>
        <v/>
      </c>
    </row>
    <row r="9" ht="15" customHeight="1">
      <c r="A9" t="inlineStr">
        <is>
          <t>A 62105-2022</t>
        </is>
      </c>
      <c r="B9" s="1" t="n">
        <v>44920</v>
      </c>
      <c r="C9" s="1" t="n">
        <v>45878</v>
      </c>
      <c r="D9" t="inlineStr">
        <is>
          <t>ÖREBRO LÄN</t>
        </is>
      </c>
      <c r="E9" t="inlineStr">
        <is>
          <t>LJUSNARSBERG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HYPERLINK("https://klasma.github.io/Logging_1864/artfynd/A 62105-2022 artfynd.xlsx", "A 62105-2022")</f>
        <v/>
      </c>
      <c r="T9">
        <f>HYPERLINK("https://klasma.github.io/Logging_1864/kartor/A 62105-2022 karta.png", "A 62105-2022")</f>
        <v/>
      </c>
      <c r="V9">
        <f>HYPERLINK("https://klasma.github.io/Logging_1864/klagomål/A 62105-2022 FSC-klagomål.docx", "A 62105-2022")</f>
        <v/>
      </c>
      <c r="W9">
        <f>HYPERLINK("https://klasma.github.io/Logging_1864/klagomålsmail/A 62105-2022 FSC-klagomål mail.docx", "A 62105-2022")</f>
        <v/>
      </c>
      <c r="X9">
        <f>HYPERLINK("https://klasma.github.io/Logging_1864/tillsyn/A 62105-2022 tillsynsbegäran.docx", "A 62105-2022")</f>
        <v/>
      </c>
      <c r="Y9">
        <f>HYPERLINK("https://klasma.github.io/Logging_1864/tillsynsmail/A 62105-2022 tillsynsbegäran mail.docx", "A 62105-2022")</f>
        <v/>
      </c>
      <c r="Z9">
        <f>HYPERLINK("https://klasma.github.io/Logging_1864/fåglar/A 62105-2022 prioriterade fågelarter.docx", "A 62105-2022")</f>
        <v/>
      </c>
    </row>
    <row r="10" ht="15" customHeight="1">
      <c r="A10" t="inlineStr">
        <is>
          <t>A 53729-2024</t>
        </is>
      </c>
      <c r="B10" s="1" t="n">
        <v>45614</v>
      </c>
      <c r="C10" s="1" t="n">
        <v>45878</v>
      </c>
      <c r="D10" t="inlineStr">
        <is>
          <t>ÖREBRO LÄN</t>
        </is>
      </c>
      <c r="E10" t="inlineStr">
        <is>
          <t>LJUSNARSBERG</t>
        </is>
      </c>
      <c r="G10" t="n">
        <v>14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Aspfjädermossa
Smal svampklubba</t>
        </is>
      </c>
      <c r="S10">
        <f>HYPERLINK("https://klasma.github.io/Logging_1864/artfynd/A 53729-2024 artfynd.xlsx", "A 53729-2024")</f>
        <v/>
      </c>
      <c r="T10">
        <f>HYPERLINK("https://klasma.github.io/Logging_1864/kartor/A 53729-2024 karta.png", "A 53729-2024")</f>
        <v/>
      </c>
      <c r="V10">
        <f>HYPERLINK("https://klasma.github.io/Logging_1864/klagomål/A 53729-2024 FSC-klagomål.docx", "A 53729-2024")</f>
        <v/>
      </c>
      <c r="W10">
        <f>HYPERLINK("https://klasma.github.io/Logging_1864/klagomålsmail/A 53729-2024 FSC-klagomål mail.docx", "A 53729-2024")</f>
        <v/>
      </c>
      <c r="X10">
        <f>HYPERLINK("https://klasma.github.io/Logging_1864/tillsyn/A 53729-2024 tillsynsbegäran.docx", "A 53729-2024")</f>
        <v/>
      </c>
      <c r="Y10">
        <f>HYPERLINK("https://klasma.github.io/Logging_1864/tillsynsmail/A 53729-2024 tillsynsbegäran mail.docx", "A 53729-2024")</f>
        <v/>
      </c>
    </row>
    <row r="11" ht="15" customHeight="1">
      <c r="A11" t="inlineStr">
        <is>
          <t>A 49157-2023</t>
        </is>
      </c>
      <c r="B11" s="1" t="n">
        <v>45210</v>
      </c>
      <c r="C11" s="1" t="n">
        <v>45878</v>
      </c>
      <c r="D11" t="inlineStr">
        <is>
          <t>ÖREBRO LÄN</t>
        </is>
      </c>
      <c r="E11" t="inlineStr">
        <is>
          <t>LJUSNARSBERG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Rödgul trumpetsvamp
Skogshakmossa</t>
        </is>
      </c>
      <c r="S11">
        <f>HYPERLINK("https://klasma.github.io/Logging_1864/artfynd/A 49157-2023 artfynd.xlsx", "A 49157-2023")</f>
        <v/>
      </c>
      <c r="T11">
        <f>HYPERLINK("https://klasma.github.io/Logging_1864/kartor/A 49157-2023 karta.png", "A 49157-2023")</f>
        <v/>
      </c>
      <c r="V11">
        <f>HYPERLINK("https://klasma.github.io/Logging_1864/klagomål/A 49157-2023 FSC-klagomål.docx", "A 49157-2023")</f>
        <v/>
      </c>
      <c r="W11">
        <f>HYPERLINK("https://klasma.github.io/Logging_1864/klagomålsmail/A 49157-2023 FSC-klagomål mail.docx", "A 49157-2023")</f>
        <v/>
      </c>
      <c r="X11">
        <f>HYPERLINK("https://klasma.github.io/Logging_1864/tillsyn/A 49157-2023 tillsynsbegäran.docx", "A 49157-2023")</f>
        <v/>
      </c>
      <c r="Y11">
        <f>HYPERLINK("https://klasma.github.io/Logging_1864/tillsynsmail/A 49157-2023 tillsynsbegäran mail.docx", "A 49157-2023")</f>
        <v/>
      </c>
    </row>
    <row r="12" ht="15" customHeight="1">
      <c r="A12" t="inlineStr">
        <is>
          <t>A 47044-2020</t>
        </is>
      </c>
      <c r="B12" s="1" t="n">
        <v>44091</v>
      </c>
      <c r="C12" s="1" t="n">
        <v>45878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7.6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HYPERLINK("https://klasma.github.io/Logging_1864/artfynd/A 47044-2020 artfynd.xlsx", "A 47044-2020")</f>
        <v/>
      </c>
      <c r="T12">
        <f>HYPERLINK("https://klasma.github.io/Logging_1864/kartor/A 47044-2020 karta.png", "A 47044-2020")</f>
        <v/>
      </c>
      <c r="U12">
        <f>HYPERLINK("https://klasma.github.io/Logging_1864/knärot/A 47044-2020 karta knärot.png", "A 47044-2020")</f>
        <v/>
      </c>
      <c r="V12">
        <f>HYPERLINK("https://klasma.github.io/Logging_1864/klagomål/A 47044-2020 FSC-klagomål.docx", "A 47044-2020")</f>
        <v/>
      </c>
      <c r="W12">
        <f>HYPERLINK("https://klasma.github.io/Logging_1864/klagomålsmail/A 47044-2020 FSC-klagomål mail.docx", "A 47044-2020")</f>
        <v/>
      </c>
      <c r="X12">
        <f>HYPERLINK("https://klasma.github.io/Logging_1864/tillsyn/A 47044-2020 tillsynsbegäran.docx", "A 47044-2020")</f>
        <v/>
      </c>
      <c r="Y12">
        <f>HYPERLINK("https://klasma.github.io/Logging_1864/tillsynsmail/A 47044-2020 tillsynsbegäran mail.docx", "A 47044-2020")</f>
        <v/>
      </c>
    </row>
    <row r="13" ht="15" customHeight="1">
      <c r="A13" t="inlineStr">
        <is>
          <t>A 13233-2023</t>
        </is>
      </c>
      <c r="B13" s="1" t="n">
        <v>45002.7306712963</v>
      </c>
      <c r="C13" s="1" t="n">
        <v>45878</v>
      </c>
      <c r="D13" t="inlineStr">
        <is>
          <t>ÖREBRO LÄN</t>
        </is>
      </c>
      <c r="E13" t="inlineStr">
        <is>
          <t>LJUSNARSBERG</t>
        </is>
      </c>
      <c r="G13" t="n">
        <v>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Tunnvingemätare</t>
        </is>
      </c>
      <c r="S13">
        <f>HYPERLINK("https://klasma.github.io/Logging_1864/artfynd/A 13233-2023 artfynd.xlsx", "A 13233-2023")</f>
        <v/>
      </c>
      <c r="T13">
        <f>HYPERLINK("https://klasma.github.io/Logging_1864/kartor/A 13233-2023 karta.png", "A 13233-2023")</f>
        <v/>
      </c>
      <c r="V13">
        <f>HYPERLINK("https://klasma.github.io/Logging_1864/klagomål/A 13233-2023 FSC-klagomål.docx", "A 13233-2023")</f>
        <v/>
      </c>
      <c r="W13">
        <f>HYPERLINK("https://klasma.github.io/Logging_1864/klagomålsmail/A 13233-2023 FSC-klagomål mail.docx", "A 13233-2023")</f>
        <v/>
      </c>
      <c r="X13">
        <f>HYPERLINK("https://klasma.github.io/Logging_1864/tillsyn/A 13233-2023 tillsynsbegäran.docx", "A 13233-2023")</f>
        <v/>
      </c>
      <c r="Y13">
        <f>HYPERLINK("https://klasma.github.io/Logging_1864/tillsynsmail/A 13233-2023 tillsynsbegäran mail.docx", "A 13233-2023")</f>
        <v/>
      </c>
    </row>
    <row r="14" ht="15" customHeight="1">
      <c r="A14" t="inlineStr">
        <is>
          <t>A 19393-2025</t>
        </is>
      </c>
      <c r="B14" s="1" t="n">
        <v>45769</v>
      </c>
      <c r="C14" s="1" t="n">
        <v>45878</v>
      </c>
      <c r="D14" t="inlineStr">
        <is>
          <t>ÖREBRO LÄN</t>
        </is>
      </c>
      <c r="E14" t="inlineStr">
        <is>
          <t>LJUSNARSBERG</t>
        </is>
      </c>
      <c r="F14" t="inlineStr">
        <is>
          <t>Bergvik skog väst AB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HYPERLINK("https://klasma.github.io/Logging_1864/artfynd/A 19393-2025 artfynd.xlsx", "A 19393-2025")</f>
        <v/>
      </c>
      <c r="T14">
        <f>HYPERLINK("https://klasma.github.io/Logging_1864/kartor/A 19393-2025 karta.png", "A 19393-2025")</f>
        <v/>
      </c>
      <c r="V14">
        <f>HYPERLINK("https://klasma.github.io/Logging_1864/klagomål/A 19393-2025 FSC-klagomål.docx", "A 19393-2025")</f>
        <v/>
      </c>
      <c r="W14">
        <f>HYPERLINK("https://klasma.github.io/Logging_1864/klagomålsmail/A 19393-2025 FSC-klagomål mail.docx", "A 19393-2025")</f>
        <v/>
      </c>
      <c r="X14">
        <f>HYPERLINK("https://klasma.github.io/Logging_1864/tillsyn/A 19393-2025 tillsynsbegäran.docx", "A 19393-2025")</f>
        <v/>
      </c>
      <c r="Y14">
        <f>HYPERLINK("https://klasma.github.io/Logging_1864/tillsynsmail/A 19393-2025 tillsynsbegäran mail.docx", "A 19393-2025")</f>
        <v/>
      </c>
    </row>
    <row r="15" ht="15" customHeight="1">
      <c r="A15" t="inlineStr">
        <is>
          <t>A 56179-2024</t>
        </is>
      </c>
      <c r="B15" s="1" t="n">
        <v>45623</v>
      </c>
      <c r="C15" s="1" t="n">
        <v>45878</v>
      </c>
      <c r="D15" t="inlineStr">
        <is>
          <t>ÖREBRO LÄN</t>
        </is>
      </c>
      <c r="E15" t="inlineStr">
        <is>
          <t>LJUSNARSBERG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HYPERLINK("https://klasma.github.io/Logging_1864/artfynd/A 56179-2024 artfynd.xlsx", "A 56179-2024")</f>
        <v/>
      </c>
      <c r="T15">
        <f>HYPERLINK("https://klasma.github.io/Logging_1864/kartor/A 56179-2024 karta.png", "A 56179-2024")</f>
        <v/>
      </c>
      <c r="V15">
        <f>HYPERLINK("https://klasma.github.io/Logging_1864/klagomål/A 56179-2024 FSC-klagomål.docx", "A 56179-2024")</f>
        <v/>
      </c>
      <c r="W15">
        <f>HYPERLINK("https://klasma.github.io/Logging_1864/klagomålsmail/A 56179-2024 FSC-klagomål mail.docx", "A 56179-2024")</f>
        <v/>
      </c>
      <c r="X15">
        <f>HYPERLINK("https://klasma.github.io/Logging_1864/tillsyn/A 56179-2024 tillsynsbegäran.docx", "A 56179-2024")</f>
        <v/>
      </c>
      <c r="Y15">
        <f>HYPERLINK("https://klasma.github.io/Logging_1864/tillsynsmail/A 56179-2024 tillsynsbegäran mail.docx", "A 56179-2024")</f>
        <v/>
      </c>
    </row>
    <row r="16" ht="15" customHeight="1">
      <c r="A16" t="inlineStr">
        <is>
          <t>A 24791-2024</t>
        </is>
      </c>
      <c r="B16" s="1" t="n">
        <v>45460</v>
      </c>
      <c r="C16" s="1" t="n">
        <v>45878</v>
      </c>
      <c r="D16" t="inlineStr">
        <is>
          <t>ÖREBRO LÄN</t>
        </is>
      </c>
      <c r="E16" t="inlineStr">
        <is>
          <t>LJUSNARSBERG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HYPERLINK("https://klasma.github.io/Logging_1864/artfynd/A 24791-2024 artfynd.xlsx", "A 24791-2024")</f>
        <v/>
      </c>
      <c r="T16">
        <f>HYPERLINK("https://klasma.github.io/Logging_1864/kartor/A 24791-2024 karta.png", "A 24791-2024")</f>
        <v/>
      </c>
      <c r="V16">
        <f>HYPERLINK("https://klasma.github.io/Logging_1864/klagomål/A 24791-2024 FSC-klagomål.docx", "A 24791-2024")</f>
        <v/>
      </c>
      <c r="W16">
        <f>HYPERLINK("https://klasma.github.io/Logging_1864/klagomålsmail/A 24791-2024 FSC-klagomål mail.docx", "A 24791-2024")</f>
        <v/>
      </c>
      <c r="X16">
        <f>HYPERLINK("https://klasma.github.io/Logging_1864/tillsyn/A 24791-2024 tillsynsbegäran.docx", "A 24791-2024")</f>
        <v/>
      </c>
      <c r="Y16">
        <f>HYPERLINK("https://klasma.github.io/Logging_1864/tillsynsmail/A 24791-2024 tillsynsbegäran mail.docx", "A 24791-2024")</f>
        <v/>
      </c>
      <c r="Z16">
        <f>HYPERLINK("https://klasma.github.io/Logging_1864/fåglar/A 24791-2024 prioriterade fågelarter.docx", "A 24791-2024")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45878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45878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45878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45878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45878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45878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45878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52919-2020</t>
        </is>
      </c>
      <c r="B24" s="1" t="n">
        <v>44120</v>
      </c>
      <c r="C24" s="1" t="n">
        <v>45878</v>
      </c>
      <c r="D24" t="inlineStr">
        <is>
          <t>ÖREBRO LÄN</t>
        </is>
      </c>
      <c r="E24" t="inlineStr">
        <is>
          <t>LJUSNARSBERG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4876-2021</t>
        </is>
      </c>
      <c r="B25" s="1" t="n">
        <v>44225.66118055556</v>
      </c>
      <c r="C25" s="1" t="n">
        <v>45878</v>
      </c>
      <c r="D25" t="inlineStr">
        <is>
          <t>ÖREBRO LÄN</t>
        </is>
      </c>
      <c r="E25" t="inlineStr">
        <is>
          <t>LJUSNARSBERG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45797-2021</t>
        </is>
      </c>
      <c r="B26" s="1" t="n">
        <v>44441</v>
      </c>
      <c r="C26" s="1" t="n">
        <v>45878</v>
      </c>
      <c r="D26" t="inlineStr">
        <is>
          <t>ÖREBRO LÄN</t>
        </is>
      </c>
      <c r="E26" t="inlineStr">
        <is>
          <t>LJUSNARSBERG</t>
        </is>
      </c>
      <c r="G26" t="n">
        <v>9.9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64978-2021</t>
        </is>
      </c>
      <c r="B27" s="1" t="n">
        <v>44513</v>
      </c>
      <c r="C27" s="1" t="n">
        <v>45878</v>
      </c>
      <c r="D27" t="inlineStr">
        <is>
          <t>ÖREBRO LÄN</t>
        </is>
      </c>
      <c r="E27" t="inlineStr">
        <is>
          <t>LJUSNARSBERG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66209-2020</t>
        </is>
      </c>
      <c r="B28" s="1" t="n">
        <v>44175</v>
      </c>
      <c r="C28" s="1" t="n">
        <v>45878</v>
      </c>
      <c r="D28" t="inlineStr">
        <is>
          <t>ÖREBRO LÄN</t>
        </is>
      </c>
      <c r="E28" t="inlineStr">
        <is>
          <t>LJUSNARSBERG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1320-2022</t>
        </is>
      </c>
      <c r="B29" s="1" t="n">
        <v>44572</v>
      </c>
      <c r="C29" s="1" t="n">
        <v>45878</v>
      </c>
      <c r="D29" t="inlineStr">
        <is>
          <t>ÖREBRO LÄN</t>
        </is>
      </c>
      <c r="E29" t="inlineStr">
        <is>
          <t>LJUSNARSBERG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41381-2020</t>
        </is>
      </c>
      <c r="B30" s="1" t="n">
        <v>44072</v>
      </c>
      <c r="C30" s="1" t="n">
        <v>45878</v>
      </c>
      <c r="D30" t="inlineStr">
        <is>
          <t>ÖREBRO LÄN</t>
        </is>
      </c>
      <c r="E30" t="inlineStr">
        <is>
          <t>LJUSNARSBERG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32309-2022</t>
        </is>
      </c>
      <c r="B31" s="1" t="n">
        <v>44781.64625</v>
      </c>
      <c r="C31" s="1" t="n">
        <v>45878</v>
      </c>
      <c r="D31" t="inlineStr">
        <is>
          <t>ÖREBRO LÄN</t>
        </is>
      </c>
      <c r="E31" t="inlineStr">
        <is>
          <t>LJUSNARSBERG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44293-2021</t>
        </is>
      </c>
      <c r="B32" s="1" t="n">
        <v>44435</v>
      </c>
      <c r="C32" s="1" t="n">
        <v>45878</v>
      </c>
      <c r="D32" t="inlineStr">
        <is>
          <t>ÖREBRO LÄN</t>
        </is>
      </c>
      <c r="E32" t="inlineStr">
        <is>
          <t>LJUSNARSBERG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36547-2021</t>
        </is>
      </c>
      <c r="B33" s="1" t="n">
        <v>44391</v>
      </c>
      <c r="C33" s="1" t="n">
        <v>45878</v>
      </c>
      <c r="D33" t="inlineStr">
        <is>
          <t>ÖREBRO LÄN</t>
        </is>
      </c>
      <c r="E33" t="inlineStr">
        <is>
          <t>LJUSNARSBERG</t>
        </is>
      </c>
      <c r="G33" t="n">
        <v>23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55248-2020</t>
        </is>
      </c>
      <c r="B34" s="1" t="n">
        <v>44130</v>
      </c>
      <c r="C34" s="1" t="n">
        <v>45878</v>
      </c>
      <c r="D34" t="inlineStr">
        <is>
          <t>ÖREBRO LÄN</t>
        </is>
      </c>
      <c r="E34" t="inlineStr">
        <is>
          <t>LJUSNARSBERG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39187-2021</t>
        </is>
      </c>
      <c r="B35" s="1" t="n">
        <v>44412</v>
      </c>
      <c r="C35" s="1" t="n">
        <v>45878</v>
      </c>
      <c r="D35" t="inlineStr">
        <is>
          <t>ÖREBRO LÄN</t>
        </is>
      </c>
      <c r="E35" t="inlineStr">
        <is>
          <t>LJUSNARSBERG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5636-2022</t>
        </is>
      </c>
      <c r="B36" s="1" t="n">
        <v>44595.85019675926</v>
      </c>
      <c r="C36" s="1" t="n">
        <v>45878</v>
      </c>
      <c r="D36" t="inlineStr">
        <is>
          <t>ÖREBRO LÄN</t>
        </is>
      </c>
      <c r="E36" t="inlineStr">
        <is>
          <t>LJUSNARSBERG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50552-2022</t>
        </is>
      </c>
      <c r="B37" s="1" t="n">
        <v>44866.62049768519</v>
      </c>
      <c r="C37" s="1" t="n">
        <v>45878</v>
      </c>
      <c r="D37" t="inlineStr">
        <is>
          <t>ÖREBRO LÄN</t>
        </is>
      </c>
      <c r="E37" t="inlineStr">
        <is>
          <t>LJUSNARSBERG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14153-2021</t>
        </is>
      </c>
      <c r="B38" s="1" t="n">
        <v>44278</v>
      </c>
      <c r="C38" s="1" t="n">
        <v>45878</v>
      </c>
      <c r="D38" t="inlineStr">
        <is>
          <t>ÖREBRO LÄN</t>
        </is>
      </c>
      <c r="E38" t="inlineStr">
        <is>
          <t>LJUSNARSBERG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44282-2021</t>
        </is>
      </c>
      <c r="B39" s="1" t="n">
        <v>44435.33862268519</v>
      </c>
      <c r="C39" s="1" t="n">
        <v>45878</v>
      </c>
      <c r="D39" t="inlineStr">
        <is>
          <t>ÖREBRO LÄN</t>
        </is>
      </c>
      <c r="E39" t="inlineStr">
        <is>
          <t>LJUSNARSBERG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41453-2021</t>
        </is>
      </c>
      <c r="B40" s="1" t="n">
        <v>44424</v>
      </c>
      <c r="C40" s="1" t="n">
        <v>45878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38277-2022</t>
        </is>
      </c>
      <c r="B41" s="1" t="n">
        <v>44812</v>
      </c>
      <c r="C41" s="1" t="n">
        <v>45878</v>
      </c>
      <c r="D41" t="inlineStr">
        <is>
          <t>ÖREBRO LÄN</t>
        </is>
      </c>
      <c r="E41" t="inlineStr">
        <is>
          <t>LJUSNARSBERG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22869-2021</t>
        </is>
      </c>
      <c r="B42" s="1" t="n">
        <v>44328</v>
      </c>
      <c r="C42" s="1" t="n">
        <v>45878</v>
      </c>
      <c r="D42" t="inlineStr">
        <is>
          <t>ÖREBRO LÄN</t>
        </is>
      </c>
      <c r="E42" t="inlineStr">
        <is>
          <t>LJUSNARSBERG</t>
        </is>
      </c>
      <c r="F42" t="inlineStr">
        <is>
          <t>Bergvik skog väst AB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1577-2021</t>
        </is>
      </c>
      <c r="B43" s="1" t="n">
        <v>44209</v>
      </c>
      <c r="C43" s="1" t="n">
        <v>45878</v>
      </c>
      <c r="D43" t="inlineStr">
        <is>
          <t>ÖREBRO LÄN</t>
        </is>
      </c>
      <c r="E43" t="inlineStr">
        <is>
          <t>LJUSNARSBERG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25773-2022</t>
        </is>
      </c>
      <c r="B44" s="1" t="n">
        <v>44733.46353009259</v>
      </c>
      <c r="C44" s="1" t="n">
        <v>45878</v>
      </c>
      <c r="D44" t="inlineStr">
        <is>
          <t>ÖREBRO LÄN</t>
        </is>
      </c>
      <c r="E44" t="inlineStr">
        <is>
          <t>LJUSNARSBERG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38911-2020</t>
        </is>
      </c>
      <c r="B45" s="1" t="n">
        <v>44062</v>
      </c>
      <c r="C45" s="1" t="n">
        <v>45878</v>
      </c>
      <c r="D45" t="inlineStr">
        <is>
          <t>ÖREBRO LÄN</t>
        </is>
      </c>
      <c r="E45" t="inlineStr">
        <is>
          <t>LJUSNARSBERG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38276-2022</t>
        </is>
      </c>
      <c r="B46" s="1" t="n">
        <v>44812</v>
      </c>
      <c r="C46" s="1" t="n">
        <v>45878</v>
      </c>
      <c r="D46" t="inlineStr">
        <is>
          <t>ÖREBRO LÄN</t>
        </is>
      </c>
      <c r="E46" t="inlineStr">
        <is>
          <t>LJUSNARSBERG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35976-2022</t>
        </is>
      </c>
      <c r="B47" s="1" t="n">
        <v>44690</v>
      </c>
      <c r="C47" s="1" t="n">
        <v>45878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33858-2022</t>
        </is>
      </c>
      <c r="B48" s="1" t="n">
        <v>44790</v>
      </c>
      <c r="C48" s="1" t="n">
        <v>45878</v>
      </c>
      <c r="D48" t="inlineStr">
        <is>
          <t>ÖREBRO LÄN</t>
        </is>
      </c>
      <c r="E48" t="inlineStr">
        <is>
          <t>LJUSNARSBERG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31998-2022</t>
        </is>
      </c>
      <c r="B49" s="1" t="n">
        <v>44778.32798611111</v>
      </c>
      <c r="C49" s="1" t="n">
        <v>45878</v>
      </c>
      <c r="D49" t="inlineStr">
        <is>
          <t>ÖREBRO LÄN</t>
        </is>
      </c>
      <c r="E49" t="inlineStr">
        <is>
          <t>LJUSNARSBERG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18080-2021</t>
        </is>
      </c>
      <c r="B50" s="1" t="n">
        <v>44302</v>
      </c>
      <c r="C50" s="1" t="n">
        <v>45878</v>
      </c>
      <c r="D50" t="inlineStr">
        <is>
          <t>ÖREBRO LÄN</t>
        </is>
      </c>
      <c r="E50" t="inlineStr">
        <is>
          <t>LJUSNARSBERG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15329-2021</t>
        </is>
      </c>
      <c r="B51" s="1" t="n">
        <v>44284</v>
      </c>
      <c r="C51" s="1" t="n">
        <v>45878</v>
      </c>
      <c r="D51" t="inlineStr">
        <is>
          <t>ÖREBRO LÄN</t>
        </is>
      </c>
      <c r="E51" t="inlineStr">
        <is>
          <t>LJUSNARSBERG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19732-2025</t>
        </is>
      </c>
      <c r="B52" s="1" t="n">
        <v>45771.36605324074</v>
      </c>
      <c r="C52" s="1" t="n">
        <v>45878</v>
      </c>
      <c r="D52" t="inlineStr">
        <is>
          <t>ÖREBRO LÄN</t>
        </is>
      </c>
      <c r="E52" t="inlineStr">
        <is>
          <t>LJUSNARSBERG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392-2022</t>
        </is>
      </c>
      <c r="B53" s="1" t="n">
        <v>44565.68466435185</v>
      </c>
      <c r="C53" s="1" t="n">
        <v>45878</v>
      </c>
      <c r="D53" t="inlineStr">
        <is>
          <t>ÖREBRO LÄN</t>
        </is>
      </c>
      <c r="E53" t="inlineStr">
        <is>
          <t>LJUSNARSBERG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33193-2024</t>
        </is>
      </c>
      <c r="B54" s="1" t="n">
        <v>45518</v>
      </c>
      <c r="C54" s="1" t="n">
        <v>45878</v>
      </c>
      <c r="D54" t="inlineStr">
        <is>
          <t>ÖREBRO LÄN</t>
        </is>
      </c>
      <c r="E54" t="inlineStr">
        <is>
          <t>LJUSNARSBERG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34712-2024</t>
        </is>
      </c>
      <c r="B55" s="1" t="n">
        <v>45526</v>
      </c>
      <c r="C55" s="1" t="n">
        <v>45878</v>
      </c>
      <c r="D55" t="inlineStr">
        <is>
          <t>ÖREBRO LÄN</t>
        </is>
      </c>
      <c r="E55" t="inlineStr">
        <is>
          <t>LJUSNARSBERG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19750-2025</t>
        </is>
      </c>
      <c r="B56" s="1" t="n">
        <v>45771.38583333333</v>
      </c>
      <c r="C56" s="1" t="n">
        <v>45878</v>
      </c>
      <c r="D56" t="inlineStr">
        <is>
          <t>ÖREBRO LÄN</t>
        </is>
      </c>
      <c r="E56" t="inlineStr">
        <is>
          <t>LJUSNARSBERG</t>
        </is>
      </c>
      <c r="F56" t="inlineStr">
        <is>
          <t>Sveaskog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52489-2022</t>
        </is>
      </c>
      <c r="B57" s="1" t="n">
        <v>44874.49135416667</v>
      </c>
      <c r="C57" s="1" t="n">
        <v>45878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46812-2024</t>
        </is>
      </c>
      <c r="B58" s="1" t="n">
        <v>45583</v>
      </c>
      <c r="C58" s="1" t="n">
        <v>45878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13609-2025</t>
        </is>
      </c>
      <c r="B59" s="1" t="n">
        <v>45736</v>
      </c>
      <c r="C59" s="1" t="n">
        <v>45878</v>
      </c>
      <c r="D59" t="inlineStr">
        <is>
          <t>ÖREBRO LÄN</t>
        </is>
      </c>
      <c r="E59" t="inlineStr">
        <is>
          <t>LJUSNARSBERG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30414-2023</t>
        </is>
      </c>
      <c r="B60" s="1" t="n">
        <v>45111.5005787037</v>
      </c>
      <c r="C60" s="1" t="n">
        <v>45878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12.8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45539-2024</t>
        </is>
      </c>
      <c r="B61" s="1" t="n">
        <v>45578</v>
      </c>
      <c r="C61" s="1" t="n">
        <v>45878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48353-2022</t>
        </is>
      </c>
      <c r="B62" s="1" t="n">
        <v>44858.57143518519</v>
      </c>
      <c r="C62" s="1" t="n">
        <v>45878</v>
      </c>
      <c r="D62" t="inlineStr">
        <is>
          <t>ÖREBRO LÄN</t>
        </is>
      </c>
      <c r="E62" t="inlineStr">
        <is>
          <t>LJUSNARSBERG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13803-2024</t>
        </is>
      </c>
      <c r="B63" s="1" t="n">
        <v>45390</v>
      </c>
      <c r="C63" s="1" t="n">
        <v>45878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17.8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46263-2021</t>
        </is>
      </c>
      <c r="B64" s="1" t="n">
        <v>44442.55688657407</v>
      </c>
      <c r="C64" s="1" t="n">
        <v>45878</v>
      </c>
      <c r="D64" t="inlineStr">
        <is>
          <t>ÖREBRO LÄN</t>
        </is>
      </c>
      <c r="E64" t="inlineStr">
        <is>
          <t>LJUSNARSBERG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18975-2025</t>
        </is>
      </c>
      <c r="B65" s="1" t="n">
        <v>45764.54383101852</v>
      </c>
      <c r="C65" s="1" t="n">
        <v>45878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53031-2024</t>
        </is>
      </c>
      <c r="B66" s="1" t="n">
        <v>45611</v>
      </c>
      <c r="C66" s="1" t="n">
        <v>45878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62667-2022</t>
        </is>
      </c>
      <c r="B67" s="1" t="n">
        <v>44917</v>
      </c>
      <c r="C67" s="1" t="n">
        <v>45878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44788-2021</t>
        </is>
      </c>
      <c r="B68" s="1" t="n">
        <v>44438.4766087963</v>
      </c>
      <c r="C68" s="1" t="n">
        <v>45878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25098-2023</t>
        </is>
      </c>
      <c r="B69" s="1" t="n">
        <v>45086.3722337963</v>
      </c>
      <c r="C69" s="1" t="n">
        <v>45878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65005-2023</t>
        </is>
      </c>
      <c r="B70" s="1" t="n">
        <v>45287</v>
      </c>
      <c r="C70" s="1" t="n">
        <v>45878</v>
      </c>
      <c r="D70" t="inlineStr">
        <is>
          <t>ÖREBRO LÄN</t>
        </is>
      </c>
      <c r="E70" t="inlineStr">
        <is>
          <t>LJUSNARSBERG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45536-2024</t>
        </is>
      </c>
      <c r="B71" s="1" t="n">
        <v>45578</v>
      </c>
      <c r="C71" s="1" t="n">
        <v>45878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11292-2025</t>
        </is>
      </c>
      <c r="B72" s="1" t="n">
        <v>45726.42877314815</v>
      </c>
      <c r="C72" s="1" t="n">
        <v>45878</v>
      </c>
      <c r="D72" t="inlineStr">
        <is>
          <t>ÖREBRO LÄN</t>
        </is>
      </c>
      <c r="E72" t="inlineStr">
        <is>
          <t>LJUSNARSBERG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29436-2023</t>
        </is>
      </c>
      <c r="B73" s="1" t="n">
        <v>45106.49378472222</v>
      </c>
      <c r="C73" s="1" t="n">
        <v>45878</v>
      </c>
      <c r="D73" t="inlineStr">
        <is>
          <t>ÖREBRO LÄN</t>
        </is>
      </c>
      <c r="E73" t="inlineStr">
        <is>
          <t>LJUSNARSBERG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53395-2021</t>
        </is>
      </c>
      <c r="B74" s="1" t="n">
        <v>44468.62</v>
      </c>
      <c r="C74" s="1" t="n">
        <v>45878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26597-2021</t>
        </is>
      </c>
      <c r="B75" s="1" t="n">
        <v>44348.6058449074</v>
      </c>
      <c r="C75" s="1" t="n">
        <v>45878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31167-2023</t>
        </is>
      </c>
      <c r="B76" s="1" t="n">
        <v>45103</v>
      </c>
      <c r="C76" s="1" t="n">
        <v>45878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44780-2024</t>
        </is>
      </c>
      <c r="B77" s="1" t="n">
        <v>45574</v>
      </c>
      <c r="C77" s="1" t="n">
        <v>45878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45537-2024</t>
        </is>
      </c>
      <c r="B78" s="1" t="n">
        <v>45578</v>
      </c>
      <c r="C78" s="1" t="n">
        <v>45878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18932-2022</t>
        </is>
      </c>
      <c r="B79" s="1" t="n">
        <v>44690</v>
      </c>
      <c r="C79" s="1" t="n">
        <v>45878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14500-2024</t>
        </is>
      </c>
      <c r="B80" s="1" t="n">
        <v>45394.59287037037</v>
      </c>
      <c r="C80" s="1" t="n">
        <v>45878</v>
      </c>
      <c r="D80" t="inlineStr">
        <is>
          <t>ÖREBRO LÄN</t>
        </is>
      </c>
      <c r="E80" t="inlineStr">
        <is>
          <t>LJUSNARSBERG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30774-2023</t>
        </is>
      </c>
      <c r="B81" s="1" t="n">
        <v>45112.6903125</v>
      </c>
      <c r="C81" s="1" t="n">
        <v>45878</v>
      </c>
      <c r="D81" t="inlineStr">
        <is>
          <t>ÖREBRO LÄN</t>
        </is>
      </c>
      <c r="E81" t="inlineStr">
        <is>
          <t>LJUSNARSBERG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17923-2024</t>
        </is>
      </c>
      <c r="B82" s="1" t="n">
        <v>45419.58890046296</v>
      </c>
      <c r="C82" s="1" t="n">
        <v>45878</v>
      </c>
      <c r="D82" t="inlineStr">
        <is>
          <t>ÖREBRO LÄN</t>
        </is>
      </c>
      <c r="E82" t="inlineStr">
        <is>
          <t>LJUSNARSBERG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17924-2024</t>
        </is>
      </c>
      <c r="B83" s="1" t="n">
        <v>45419.59212962963</v>
      </c>
      <c r="C83" s="1" t="n">
        <v>45878</v>
      </c>
      <c r="D83" t="inlineStr">
        <is>
          <t>ÖREBRO LÄN</t>
        </is>
      </c>
      <c r="E83" t="inlineStr">
        <is>
          <t>LJUSNARSBERG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33974-2023</t>
        </is>
      </c>
      <c r="B84" s="1" t="n">
        <v>45124</v>
      </c>
      <c r="C84" s="1" t="n">
        <v>45878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33979-2023</t>
        </is>
      </c>
      <c r="B85" s="1" t="n">
        <v>45124</v>
      </c>
      <c r="C85" s="1" t="n">
        <v>45878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7499-2024</t>
        </is>
      </c>
      <c r="B86" s="1" t="n">
        <v>45347.84356481482</v>
      </c>
      <c r="C86" s="1" t="n">
        <v>45878</v>
      </c>
      <c r="D86" t="inlineStr">
        <is>
          <t>ÖREBRO LÄN</t>
        </is>
      </c>
      <c r="E86" t="inlineStr">
        <is>
          <t>LJUSNARSBERG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59495-2024</t>
        </is>
      </c>
      <c r="B87" s="1" t="n">
        <v>45638</v>
      </c>
      <c r="C87" s="1" t="n">
        <v>45878</v>
      </c>
      <c r="D87" t="inlineStr">
        <is>
          <t>ÖREBRO LÄN</t>
        </is>
      </c>
      <c r="E87" t="inlineStr">
        <is>
          <t>LJUSNARSBERG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53594-2024</t>
        </is>
      </c>
      <c r="B88" s="1" t="n">
        <v>45614.67486111111</v>
      </c>
      <c r="C88" s="1" t="n">
        <v>45878</v>
      </c>
      <c r="D88" t="inlineStr">
        <is>
          <t>ÖREBRO LÄN</t>
        </is>
      </c>
      <c r="E88" t="inlineStr">
        <is>
          <t>LJUSNARSBERG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62810-2021</t>
        </is>
      </c>
      <c r="B89" s="1" t="n">
        <v>44503</v>
      </c>
      <c r="C89" s="1" t="n">
        <v>45878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35378-2024</t>
        </is>
      </c>
      <c r="B90" s="1" t="n">
        <v>45531</v>
      </c>
      <c r="C90" s="1" t="n">
        <v>45878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21.8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19742-2025</t>
        </is>
      </c>
      <c r="B91" s="1" t="n">
        <v>45771.37377314815</v>
      </c>
      <c r="C91" s="1" t="n">
        <v>45878</v>
      </c>
      <c r="D91" t="inlineStr">
        <is>
          <t>ÖREBRO LÄN</t>
        </is>
      </c>
      <c r="E91" t="inlineStr">
        <is>
          <t>LJUSNARSBERG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19746-2025</t>
        </is>
      </c>
      <c r="B92" s="1" t="n">
        <v>45771.38315972222</v>
      </c>
      <c r="C92" s="1" t="n">
        <v>45878</v>
      </c>
      <c r="D92" t="inlineStr">
        <is>
          <t>ÖREBRO LÄN</t>
        </is>
      </c>
      <c r="E92" t="inlineStr">
        <is>
          <t>LJUSNARSBERG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53789-2022</t>
        </is>
      </c>
      <c r="B93" s="1" t="n">
        <v>44880.49702546297</v>
      </c>
      <c r="C93" s="1" t="n">
        <v>45878</v>
      </c>
      <c r="D93" t="inlineStr">
        <is>
          <t>ÖREBRO LÄN</t>
        </is>
      </c>
      <c r="E93" t="inlineStr">
        <is>
          <t>LJUSNARSBERG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17428-2025</t>
        </is>
      </c>
      <c r="B94" s="1" t="n">
        <v>45757.4027199074</v>
      </c>
      <c r="C94" s="1" t="n">
        <v>45878</v>
      </c>
      <c r="D94" t="inlineStr">
        <is>
          <t>ÖREBRO LÄN</t>
        </is>
      </c>
      <c r="E94" t="inlineStr">
        <is>
          <t>LJUSNARSBERG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67746-2021</t>
        </is>
      </c>
      <c r="B95" s="1" t="n">
        <v>44524</v>
      </c>
      <c r="C95" s="1" t="n">
        <v>45878</v>
      </c>
      <c r="D95" t="inlineStr">
        <is>
          <t>ÖREBRO LÄN</t>
        </is>
      </c>
      <c r="E95" t="inlineStr">
        <is>
          <t>LJUSNARSBERG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31162-2023</t>
        </is>
      </c>
      <c r="B96" s="1" t="n">
        <v>45103</v>
      </c>
      <c r="C96" s="1" t="n">
        <v>45878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10.4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62679-2022</t>
        </is>
      </c>
      <c r="B97" s="1" t="n">
        <v>44917</v>
      </c>
      <c r="C97" s="1" t="n">
        <v>45878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15325-2021</t>
        </is>
      </c>
      <c r="B98" s="1" t="n">
        <v>44284</v>
      </c>
      <c r="C98" s="1" t="n">
        <v>45878</v>
      </c>
      <c r="D98" t="inlineStr">
        <is>
          <t>ÖREBRO LÄN</t>
        </is>
      </c>
      <c r="E98" t="inlineStr">
        <is>
          <t>LJUSNARSBERG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59497-2024</t>
        </is>
      </c>
      <c r="B99" s="1" t="n">
        <v>45638.5459375</v>
      </c>
      <c r="C99" s="1" t="n">
        <v>45878</v>
      </c>
      <c r="D99" t="inlineStr">
        <is>
          <t>ÖREBRO LÄN</t>
        </is>
      </c>
      <c r="E99" t="inlineStr">
        <is>
          <t>LJUSNARSBERG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22887-2024</t>
        </is>
      </c>
      <c r="B100" s="1" t="n">
        <v>45448</v>
      </c>
      <c r="C100" s="1" t="n">
        <v>45878</v>
      </c>
      <c r="D100" t="inlineStr">
        <is>
          <t>ÖREBRO LÄN</t>
        </is>
      </c>
      <c r="E100" t="inlineStr">
        <is>
          <t>LJUSNARSBERG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46082-2024</t>
        </is>
      </c>
      <c r="B101" s="1" t="n">
        <v>45581</v>
      </c>
      <c r="C101" s="1" t="n">
        <v>45878</v>
      </c>
      <c r="D101" t="inlineStr">
        <is>
          <t>ÖREBRO LÄN</t>
        </is>
      </c>
      <c r="E101" t="inlineStr">
        <is>
          <t>LJUSNARSBERG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289-2022</t>
        </is>
      </c>
      <c r="B102" s="1" t="n">
        <v>44564</v>
      </c>
      <c r="C102" s="1" t="n">
        <v>45878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12482-2023</t>
        </is>
      </c>
      <c r="B103" s="1" t="n">
        <v>44999.65438657408</v>
      </c>
      <c r="C103" s="1" t="n">
        <v>45878</v>
      </c>
      <c r="D103" t="inlineStr">
        <is>
          <t>ÖREBRO LÄN</t>
        </is>
      </c>
      <c r="E103" t="inlineStr">
        <is>
          <t>LJUSNARSBERG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59516-2020</t>
        </is>
      </c>
      <c r="B104" s="1" t="n">
        <v>44148</v>
      </c>
      <c r="C104" s="1" t="n">
        <v>45878</v>
      </c>
      <c r="D104" t="inlineStr">
        <is>
          <t>ÖREBRO LÄN</t>
        </is>
      </c>
      <c r="E104" t="inlineStr">
        <is>
          <t>LJUSNARSBERG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37148-2023</t>
        </is>
      </c>
      <c r="B105" s="1" t="n">
        <v>45155</v>
      </c>
      <c r="C105" s="1" t="n">
        <v>45878</v>
      </c>
      <c r="D105" t="inlineStr">
        <is>
          <t>ÖREBRO LÄN</t>
        </is>
      </c>
      <c r="E105" t="inlineStr">
        <is>
          <t>LJUSNARSBERG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28778-2024</t>
        </is>
      </c>
      <c r="B106" s="1" t="n">
        <v>45478.6056712963</v>
      </c>
      <c r="C106" s="1" t="n">
        <v>45878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53887-2024</t>
        </is>
      </c>
      <c r="B107" s="1" t="n">
        <v>45614</v>
      </c>
      <c r="C107" s="1" t="n">
        <v>45878</v>
      </c>
      <c r="D107" t="inlineStr">
        <is>
          <t>ÖREBRO LÄN</t>
        </is>
      </c>
      <c r="E107" t="inlineStr">
        <is>
          <t>LJUSNARSBERG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45538-2024</t>
        </is>
      </c>
      <c r="B108" s="1" t="n">
        <v>45578</v>
      </c>
      <c r="C108" s="1" t="n">
        <v>45878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19754-2025</t>
        </is>
      </c>
      <c r="B109" s="1" t="n">
        <v>45771.38807870371</v>
      </c>
      <c r="C109" s="1" t="n">
        <v>45878</v>
      </c>
      <c r="D109" t="inlineStr">
        <is>
          <t>ÖREBRO LÄN</t>
        </is>
      </c>
      <c r="E109" t="inlineStr">
        <is>
          <t>LJUSNARSBERG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13389-2024</t>
        </is>
      </c>
      <c r="B110" s="1" t="n">
        <v>45387.40418981481</v>
      </c>
      <c r="C110" s="1" t="n">
        <v>45878</v>
      </c>
      <c r="D110" t="inlineStr">
        <is>
          <t>ÖREBRO LÄN</t>
        </is>
      </c>
      <c r="E110" t="inlineStr">
        <is>
          <t>LJUSNARSBERG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6313-2025</t>
        </is>
      </c>
      <c r="B111" s="1" t="n">
        <v>45698</v>
      </c>
      <c r="C111" s="1" t="n">
        <v>45878</v>
      </c>
      <c r="D111" t="inlineStr">
        <is>
          <t>ÖREBRO LÄN</t>
        </is>
      </c>
      <c r="E111" t="inlineStr">
        <is>
          <t>LJUSNARSBERG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46801-2024</t>
        </is>
      </c>
      <c r="B112" s="1" t="n">
        <v>45583</v>
      </c>
      <c r="C112" s="1" t="n">
        <v>45878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46809-2024</t>
        </is>
      </c>
      <c r="B113" s="1" t="n">
        <v>45583</v>
      </c>
      <c r="C113" s="1" t="n">
        <v>45878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24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48780-2024</t>
        </is>
      </c>
      <c r="B114" s="1" t="n">
        <v>45593</v>
      </c>
      <c r="C114" s="1" t="n">
        <v>45878</v>
      </c>
      <c r="D114" t="inlineStr">
        <is>
          <t>ÖREBRO LÄN</t>
        </is>
      </c>
      <c r="E114" t="inlineStr">
        <is>
          <t>LJUSNARSBERG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44760-2024</t>
        </is>
      </c>
      <c r="B115" s="1" t="n">
        <v>45574</v>
      </c>
      <c r="C115" s="1" t="n">
        <v>45878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11.4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25671-2024</t>
        </is>
      </c>
      <c r="B116" s="1" t="n">
        <v>45463.72734953704</v>
      </c>
      <c r="C116" s="1" t="n">
        <v>45878</v>
      </c>
      <c r="D116" t="inlineStr">
        <is>
          <t>ÖREBRO LÄN</t>
        </is>
      </c>
      <c r="E116" t="inlineStr">
        <is>
          <t>LJUSNARSBERG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16470-2025</t>
        </is>
      </c>
      <c r="B117" s="1" t="n">
        <v>45751.54487268518</v>
      </c>
      <c r="C117" s="1" t="n">
        <v>45878</v>
      </c>
      <c r="D117" t="inlineStr">
        <is>
          <t>ÖREBRO LÄN</t>
        </is>
      </c>
      <c r="E117" t="inlineStr">
        <is>
          <t>LJUSNARSBERG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16615-2025</t>
        </is>
      </c>
      <c r="B118" s="1" t="n">
        <v>45754.28462962963</v>
      </c>
      <c r="C118" s="1" t="n">
        <v>45878</v>
      </c>
      <c r="D118" t="inlineStr">
        <is>
          <t>ÖREBRO LÄN</t>
        </is>
      </c>
      <c r="E118" t="inlineStr">
        <is>
          <t>LJUSNARSBERG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30172-2023</t>
        </is>
      </c>
      <c r="B119" s="1" t="n">
        <v>45110.5818287037</v>
      </c>
      <c r="C119" s="1" t="n">
        <v>45878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34926-2023</t>
        </is>
      </c>
      <c r="B120" s="1" t="n">
        <v>45142.49333333333</v>
      </c>
      <c r="C120" s="1" t="n">
        <v>45878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44983-2024</t>
        </is>
      </c>
      <c r="B121" s="1" t="n">
        <v>45575</v>
      </c>
      <c r="C121" s="1" t="n">
        <v>45878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2607-2023</t>
        </is>
      </c>
      <c r="B122" s="1" t="n">
        <v>44939</v>
      </c>
      <c r="C122" s="1" t="n">
        <v>45878</v>
      </c>
      <c r="D122" t="inlineStr">
        <is>
          <t>ÖREBRO LÄN</t>
        </is>
      </c>
      <c r="E122" t="inlineStr">
        <is>
          <t>LJUSNARSBERG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4989-2023</t>
        </is>
      </c>
      <c r="B123" s="1" t="n">
        <v>44956</v>
      </c>
      <c r="C123" s="1" t="n">
        <v>45878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6310-2024</t>
        </is>
      </c>
      <c r="B124" s="1" t="n">
        <v>45338</v>
      </c>
      <c r="C124" s="1" t="n">
        <v>45878</v>
      </c>
      <c r="D124" t="inlineStr">
        <is>
          <t>ÖREBRO LÄN</t>
        </is>
      </c>
      <c r="E124" t="inlineStr">
        <is>
          <t>LJUSNARSBERG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32012-2025</t>
        </is>
      </c>
      <c r="B125" s="1" t="n">
        <v>45835.39809027778</v>
      </c>
      <c r="C125" s="1" t="n">
        <v>45878</v>
      </c>
      <c r="D125" t="inlineStr">
        <is>
          <t>ÖREBRO LÄN</t>
        </is>
      </c>
      <c r="E125" t="inlineStr">
        <is>
          <t>LJUSNARSBERG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46805-2024</t>
        </is>
      </c>
      <c r="B126" s="1" t="n">
        <v>45583</v>
      </c>
      <c r="C126" s="1" t="n">
        <v>45878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50524-2023</t>
        </is>
      </c>
      <c r="B127" s="1" t="n">
        <v>45217</v>
      </c>
      <c r="C127" s="1" t="n">
        <v>45878</v>
      </c>
      <c r="D127" t="inlineStr">
        <is>
          <t>ÖREBRO LÄN</t>
        </is>
      </c>
      <c r="E127" t="inlineStr">
        <is>
          <t>LJUSNARSBERG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36108-2024</t>
        </is>
      </c>
      <c r="B128" s="1" t="n">
        <v>45533.9425</v>
      </c>
      <c r="C128" s="1" t="n">
        <v>45878</v>
      </c>
      <c r="D128" t="inlineStr">
        <is>
          <t>ÖREBRO LÄN</t>
        </is>
      </c>
      <c r="E128" t="inlineStr">
        <is>
          <t>LJUSNARSBERG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32010-2025</t>
        </is>
      </c>
      <c r="B129" s="1" t="n">
        <v>45835.39456018519</v>
      </c>
      <c r="C129" s="1" t="n">
        <v>45878</v>
      </c>
      <c r="D129" t="inlineStr">
        <is>
          <t>ÖREBRO LÄN</t>
        </is>
      </c>
      <c r="E129" t="inlineStr">
        <is>
          <t>LJUSNARSBERG</t>
        </is>
      </c>
      <c r="F129" t="inlineStr">
        <is>
          <t>Sveaskog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31763-2023</t>
        </is>
      </c>
      <c r="B130" s="1" t="n">
        <v>45106</v>
      </c>
      <c r="C130" s="1" t="n">
        <v>45878</v>
      </c>
      <c r="D130" t="inlineStr">
        <is>
          <t>ÖREBRO LÄN</t>
        </is>
      </c>
      <c r="E130" t="inlineStr">
        <is>
          <t>LJUSNARSBERG</t>
        </is>
      </c>
      <c r="F130" t="inlineStr">
        <is>
          <t>Bergvik skog väst AB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58823-2022</t>
        </is>
      </c>
      <c r="B131" s="1" t="n">
        <v>44903</v>
      </c>
      <c r="C131" s="1" t="n">
        <v>45878</v>
      </c>
      <c r="D131" t="inlineStr">
        <is>
          <t>ÖREBRO LÄN</t>
        </is>
      </c>
      <c r="E131" t="inlineStr">
        <is>
          <t>LJUSNARSBERG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32880-2025</t>
        </is>
      </c>
      <c r="B132" s="1" t="n">
        <v>45839.59601851852</v>
      </c>
      <c r="C132" s="1" t="n">
        <v>45878</v>
      </c>
      <c r="D132" t="inlineStr">
        <is>
          <t>ÖREBRO LÄN</t>
        </is>
      </c>
      <c r="E132" t="inlineStr">
        <is>
          <t>LJUSNARSBERG</t>
        </is>
      </c>
      <c r="F132" t="inlineStr">
        <is>
          <t>Kommuner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25574-2023</t>
        </is>
      </c>
      <c r="B133" s="1" t="n">
        <v>45089</v>
      </c>
      <c r="C133" s="1" t="n">
        <v>45878</v>
      </c>
      <c r="D133" t="inlineStr">
        <is>
          <t>ÖREBRO LÄN</t>
        </is>
      </c>
      <c r="E133" t="inlineStr">
        <is>
          <t>LJUSNARSBERG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53595-2024</t>
        </is>
      </c>
      <c r="B134" s="1" t="n">
        <v>45614.67861111111</v>
      </c>
      <c r="C134" s="1" t="n">
        <v>45878</v>
      </c>
      <c r="D134" t="inlineStr">
        <is>
          <t>ÖREBRO LÄN</t>
        </is>
      </c>
      <c r="E134" t="inlineStr">
        <is>
          <t>LJUSNARSBERG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24385-2025</t>
        </is>
      </c>
      <c r="B135" s="1" t="n">
        <v>45797</v>
      </c>
      <c r="C135" s="1" t="n">
        <v>45878</v>
      </c>
      <c r="D135" t="inlineStr">
        <is>
          <t>ÖREBRO LÄN</t>
        </is>
      </c>
      <c r="E135" t="inlineStr">
        <is>
          <t>LJUSNARSBERG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61794-2024</t>
        </is>
      </c>
      <c r="B136" s="1" t="n">
        <v>45649</v>
      </c>
      <c r="C136" s="1" t="n">
        <v>45878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33181-2025</t>
        </is>
      </c>
      <c r="B137" s="1" t="n">
        <v>45840.59094907407</v>
      </c>
      <c r="C137" s="1" t="n">
        <v>45878</v>
      </c>
      <c r="D137" t="inlineStr">
        <is>
          <t>ÖREBRO LÄN</t>
        </is>
      </c>
      <c r="E137" t="inlineStr">
        <is>
          <t>LJUSNARSBERG</t>
        </is>
      </c>
      <c r="G137" t="n">
        <v>9.699999999999999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31295-2023</t>
        </is>
      </c>
      <c r="B138" s="1" t="n">
        <v>45103</v>
      </c>
      <c r="C138" s="1" t="n">
        <v>45878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24921-2023</t>
        </is>
      </c>
      <c r="B139" s="1" t="n">
        <v>45085</v>
      </c>
      <c r="C139" s="1" t="n">
        <v>45878</v>
      </c>
      <c r="D139" t="inlineStr">
        <is>
          <t>ÖREBRO LÄN</t>
        </is>
      </c>
      <c r="E139" t="inlineStr">
        <is>
          <t>LJUSNARSBERG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25390-2025</t>
        </is>
      </c>
      <c r="B140" s="1" t="n">
        <v>45800.64597222222</v>
      </c>
      <c r="C140" s="1" t="n">
        <v>45878</v>
      </c>
      <c r="D140" t="inlineStr">
        <is>
          <t>ÖREBRO LÄN</t>
        </is>
      </c>
      <c r="E140" t="inlineStr">
        <is>
          <t>LJUSNARSBERG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18938-2022</t>
        </is>
      </c>
      <c r="B141" s="1" t="n">
        <v>44690</v>
      </c>
      <c r="C141" s="1" t="n">
        <v>45878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52366-2024</t>
        </is>
      </c>
      <c r="B142" s="1" t="n">
        <v>45608</v>
      </c>
      <c r="C142" s="1" t="n">
        <v>45878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33622-2025</t>
        </is>
      </c>
      <c r="B143" s="1" t="n">
        <v>45841.63055555556</v>
      </c>
      <c r="C143" s="1" t="n">
        <v>45878</v>
      </c>
      <c r="D143" t="inlineStr">
        <is>
          <t>ÖREBRO LÄN</t>
        </is>
      </c>
      <c r="E143" t="inlineStr">
        <is>
          <t>LJUSNARSBERG</t>
        </is>
      </c>
      <c r="F143" t="inlineStr">
        <is>
          <t>Kyrkan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33666-2025</t>
        </is>
      </c>
      <c r="B144" s="1" t="n">
        <v>45841.67148148148</v>
      </c>
      <c r="C144" s="1" t="n">
        <v>45878</v>
      </c>
      <c r="D144" t="inlineStr">
        <is>
          <t>ÖREBRO LÄN</t>
        </is>
      </c>
      <c r="E144" t="inlineStr">
        <is>
          <t>LJUSNARSBERG</t>
        </is>
      </c>
      <c r="F144" t="inlineStr">
        <is>
          <t>Kyrkan</t>
        </is>
      </c>
      <c r="G144" t="n">
        <v>12.8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46085-2024</t>
        </is>
      </c>
      <c r="B145" s="1" t="n">
        <v>45581</v>
      </c>
      <c r="C145" s="1" t="n">
        <v>45878</v>
      </c>
      <c r="D145" t="inlineStr">
        <is>
          <t>ÖREBRO LÄN</t>
        </is>
      </c>
      <c r="E145" t="inlineStr">
        <is>
          <t>LJUSNARSBERG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33448-2025</t>
        </is>
      </c>
      <c r="B146" s="1" t="n">
        <v>45841.46513888889</v>
      </c>
      <c r="C146" s="1" t="n">
        <v>45878</v>
      </c>
      <c r="D146" t="inlineStr">
        <is>
          <t>ÖREBRO LÄN</t>
        </is>
      </c>
      <c r="E146" t="inlineStr">
        <is>
          <t>LJUSNARSBERG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29721-2023</t>
        </is>
      </c>
      <c r="B147" s="1" t="n">
        <v>45107</v>
      </c>
      <c r="C147" s="1" t="n">
        <v>45878</v>
      </c>
      <c r="D147" t="inlineStr">
        <is>
          <t>ÖREBRO LÄN</t>
        </is>
      </c>
      <c r="E147" t="inlineStr">
        <is>
          <t>LJUSNARSBERG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46823-2024</t>
        </is>
      </c>
      <c r="B148" s="1" t="n">
        <v>45583.57623842593</v>
      </c>
      <c r="C148" s="1" t="n">
        <v>45878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19857-2022</t>
        </is>
      </c>
      <c r="B149" s="1" t="n">
        <v>44694</v>
      </c>
      <c r="C149" s="1" t="n">
        <v>45878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56601-2024</t>
        </is>
      </c>
      <c r="B150" s="1" t="n">
        <v>45625.63876157408</v>
      </c>
      <c r="C150" s="1" t="n">
        <v>45878</v>
      </c>
      <c r="D150" t="inlineStr">
        <is>
          <t>ÖREBRO LÄN</t>
        </is>
      </c>
      <c r="E150" t="inlineStr">
        <is>
          <t>LJUSNARSBERG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59629-2024</t>
        </is>
      </c>
      <c r="B151" s="1" t="n">
        <v>45638.89961805556</v>
      </c>
      <c r="C151" s="1" t="n">
        <v>45878</v>
      </c>
      <c r="D151" t="inlineStr">
        <is>
          <t>ÖREBRO LÄN</t>
        </is>
      </c>
      <c r="E151" t="inlineStr">
        <is>
          <t>LJUSNARSBERG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33976-2023</t>
        </is>
      </c>
      <c r="B152" s="1" t="n">
        <v>45124</v>
      </c>
      <c r="C152" s="1" t="n">
        <v>45878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26617-2022</t>
        </is>
      </c>
      <c r="B153" s="1" t="n">
        <v>44739.57129629629</v>
      </c>
      <c r="C153" s="1" t="n">
        <v>45878</v>
      </c>
      <c r="D153" t="inlineStr">
        <is>
          <t>ÖREBRO LÄN</t>
        </is>
      </c>
      <c r="E153" t="inlineStr">
        <is>
          <t>LJUSNARSBERG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53591-2024</t>
        </is>
      </c>
      <c r="B154" s="1" t="n">
        <v>45614.67206018518</v>
      </c>
      <c r="C154" s="1" t="n">
        <v>45878</v>
      </c>
      <c r="D154" t="inlineStr">
        <is>
          <t>ÖREBRO LÄN</t>
        </is>
      </c>
      <c r="E154" t="inlineStr">
        <is>
          <t>LJUSNARSBERG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20797-2022</t>
        </is>
      </c>
      <c r="B155" s="1" t="n">
        <v>44701</v>
      </c>
      <c r="C155" s="1" t="n">
        <v>45878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118-2025</t>
        </is>
      </c>
      <c r="B156" s="1" t="n">
        <v>45659.53268518519</v>
      </c>
      <c r="C156" s="1" t="n">
        <v>45878</v>
      </c>
      <c r="D156" t="inlineStr">
        <is>
          <t>ÖREBRO LÄN</t>
        </is>
      </c>
      <c r="E156" t="inlineStr">
        <is>
          <t>LJUSNARSBERG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121-2025</t>
        </is>
      </c>
      <c r="B157" s="1" t="n">
        <v>45659.54126157407</v>
      </c>
      <c r="C157" s="1" t="n">
        <v>45878</v>
      </c>
      <c r="D157" t="inlineStr">
        <is>
          <t>ÖREBRO LÄN</t>
        </is>
      </c>
      <c r="E157" t="inlineStr">
        <is>
          <t>LJUSNARSBERG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26469-2025</t>
        </is>
      </c>
      <c r="B158" s="1" t="n">
        <v>45807.45302083333</v>
      </c>
      <c r="C158" s="1" t="n">
        <v>45878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120-2025</t>
        </is>
      </c>
      <c r="B159" s="1" t="n">
        <v>45659.5359837963</v>
      </c>
      <c r="C159" s="1" t="n">
        <v>45878</v>
      </c>
      <c r="D159" t="inlineStr">
        <is>
          <t>ÖREBRO LÄN</t>
        </is>
      </c>
      <c r="E159" t="inlineStr">
        <is>
          <t>LJUSNARSBERG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19368-2025</t>
        </is>
      </c>
      <c r="B160" s="1" t="n">
        <v>45769</v>
      </c>
      <c r="C160" s="1" t="n">
        <v>45878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35071-2025</t>
        </is>
      </c>
      <c r="B161" s="1" t="n">
        <v>45852.47094907407</v>
      </c>
      <c r="C161" s="1" t="n">
        <v>45878</v>
      </c>
      <c r="D161" t="inlineStr">
        <is>
          <t>ÖREBRO LÄN</t>
        </is>
      </c>
      <c r="E161" t="inlineStr">
        <is>
          <t>LJUSNARSBERG</t>
        </is>
      </c>
      <c r="F161" t="inlineStr">
        <is>
          <t>Kyrkan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35079-2025</t>
        </is>
      </c>
      <c r="B162" s="1" t="n">
        <v>45852.48940972222</v>
      </c>
      <c r="C162" s="1" t="n">
        <v>45878</v>
      </c>
      <c r="D162" t="inlineStr">
        <is>
          <t>ÖREBRO LÄN</t>
        </is>
      </c>
      <c r="E162" t="inlineStr">
        <is>
          <t>LJUSNARSBERG</t>
        </is>
      </c>
      <c r="F162" t="inlineStr">
        <is>
          <t>Kyrkan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59627-2024</t>
        </is>
      </c>
      <c r="B163" s="1" t="n">
        <v>45638.89708333334</v>
      </c>
      <c r="C163" s="1" t="n">
        <v>45878</v>
      </c>
      <c r="D163" t="inlineStr">
        <is>
          <t>ÖREBRO LÄN</t>
        </is>
      </c>
      <c r="E163" t="inlineStr">
        <is>
          <t>LJUSNARSBERG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59630-2024</t>
        </is>
      </c>
      <c r="B164" s="1" t="n">
        <v>45638.90166666666</v>
      </c>
      <c r="C164" s="1" t="n">
        <v>45878</v>
      </c>
      <c r="D164" t="inlineStr">
        <is>
          <t>ÖREBRO LÄN</t>
        </is>
      </c>
      <c r="E164" t="inlineStr">
        <is>
          <t>LJUSNARSBERG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23346-2022</t>
        </is>
      </c>
      <c r="B165" s="1" t="n">
        <v>44720</v>
      </c>
      <c r="C165" s="1" t="n">
        <v>45878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17933-2024</t>
        </is>
      </c>
      <c r="B166" s="1" t="n">
        <v>45419.61329861111</v>
      </c>
      <c r="C166" s="1" t="n">
        <v>45878</v>
      </c>
      <c r="D166" t="inlineStr">
        <is>
          <t>ÖREBRO LÄN</t>
        </is>
      </c>
      <c r="E166" t="inlineStr">
        <is>
          <t>LJUSNARSBERG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53726-2024</t>
        </is>
      </c>
      <c r="B167" s="1" t="n">
        <v>45614</v>
      </c>
      <c r="C167" s="1" t="n">
        <v>45878</v>
      </c>
      <c r="D167" t="inlineStr">
        <is>
          <t>ÖREBRO LÄN</t>
        </is>
      </c>
      <c r="E167" t="inlineStr">
        <is>
          <t>LJUSNARSBERG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53753-2024</t>
        </is>
      </c>
      <c r="B168" s="1" t="n">
        <v>45614</v>
      </c>
      <c r="C168" s="1" t="n">
        <v>45878</v>
      </c>
      <c r="D168" t="inlineStr">
        <is>
          <t>ÖREBRO LÄN</t>
        </is>
      </c>
      <c r="E168" t="inlineStr">
        <is>
          <t>LJUSNARSBERG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23372-2022</t>
        </is>
      </c>
      <c r="B169" s="1" t="n">
        <v>44720.61091435186</v>
      </c>
      <c r="C169" s="1" t="n">
        <v>45878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11.2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20673-2025</t>
        </is>
      </c>
      <c r="B170" s="1" t="n">
        <v>45776</v>
      </c>
      <c r="C170" s="1" t="n">
        <v>45878</v>
      </c>
      <c r="D170" t="inlineStr">
        <is>
          <t>ÖREBRO LÄN</t>
        </is>
      </c>
      <c r="E170" t="inlineStr">
        <is>
          <t>LJUSNARSBERG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27343-2025</t>
        </is>
      </c>
      <c r="B171" s="1" t="n">
        <v>45812.61828703704</v>
      </c>
      <c r="C171" s="1" t="n">
        <v>45878</v>
      </c>
      <c r="D171" t="inlineStr">
        <is>
          <t>ÖREBRO LÄN</t>
        </is>
      </c>
      <c r="E171" t="inlineStr">
        <is>
          <t>LJUSNARSBERG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27341-2025</t>
        </is>
      </c>
      <c r="B172" s="1" t="n">
        <v>45812.61592592593</v>
      </c>
      <c r="C172" s="1" t="n">
        <v>45878</v>
      </c>
      <c r="D172" t="inlineStr">
        <is>
          <t>ÖREBRO LÄN</t>
        </is>
      </c>
      <c r="E172" t="inlineStr">
        <is>
          <t>LJUSNARSBERG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55787-2023</t>
        </is>
      </c>
      <c r="B173" s="1" t="n">
        <v>45239.51128472222</v>
      </c>
      <c r="C173" s="1" t="n">
        <v>45878</v>
      </c>
      <c r="D173" t="inlineStr">
        <is>
          <t>ÖREBRO LÄN</t>
        </is>
      </c>
      <c r="E173" t="inlineStr">
        <is>
          <t>LJUSNARSBERG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33861-2022</t>
        </is>
      </c>
      <c r="B174" s="1" t="n">
        <v>44790</v>
      </c>
      <c r="C174" s="1" t="n">
        <v>45878</v>
      </c>
      <c r="D174" t="inlineStr">
        <is>
          <t>ÖREBRO LÄN</t>
        </is>
      </c>
      <c r="E174" t="inlineStr">
        <is>
          <t>LJUSNARSBERG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37066-2023</t>
        </is>
      </c>
      <c r="B175" s="1" t="n">
        <v>45155</v>
      </c>
      <c r="C175" s="1" t="n">
        <v>45878</v>
      </c>
      <c r="D175" t="inlineStr">
        <is>
          <t>ÖREBRO LÄN</t>
        </is>
      </c>
      <c r="E175" t="inlineStr">
        <is>
          <t>LJUSNARSBERG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26260-2024</t>
        </is>
      </c>
      <c r="B176" s="1" t="n">
        <v>45468.65731481482</v>
      </c>
      <c r="C176" s="1" t="n">
        <v>45878</v>
      </c>
      <c r="D176" t="inlineStr">
        <is>
          <t>ÖREBRO LÄN</t>
        </is>
      </c>
      <c r="E176" t="inlineStr">
        <is>
          <t>LJUSNARSBERG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43267-2024</t>
        </is>
      </c>
      <c r="B177" s="1" t="n">
        <v>45568.37403935185</v>
      </c>
      <c r="C177" s="1" t="n">
        <v>45878</v>
      </c>
      <c r="D177" t="inlineStr">
        <is>
          <t>ÖREBRO LÄN</t>
        </is>
      </c>
      <c r="E177" t="inlineStr">
        <is>
          <t>LJUSNARSBERG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122-2025</t>
        </is>
      </c>
      <c r="B178" s="1" t="n">
        <v>45659.54782407408</v>
      </c>
      <c r="C178" s="1" t="n">
        <v>45878</v>
      </c>
      <c r="D178" t="inlineStr">
        <is>
          <t>ÖREBRO LÄN</t>
        </is>
      </c>
      <c r="E178" t="inlineStr">
        <is>
          <t>LJUSNARSBERG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26165-2022</t>
        </is>
      </c>
      <c r="B179" s="1" t="n">
        <v>44734</v>
      </c>
      <c r="C179" s="1" t="n">
        <v>45878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57129-2021</t>
        </is>
      </c>
      <c r="B180" s="1" t="n">
        <v>44482</v>
      </c>
      <c r="C180" s="1" t="n">
        <v>45878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17.8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29004-2025</t>
        </is>
      </c>
      <c r="B181" s="1" t="n">
        <v>45821.39295138889</v>
      </c>
      <c r="C181" s="1" t="n">
        <v>45878</v>
      </c>
      <c r="D181" t="inlineStr">
        <is>
          <t>ÖREBRO LÄN</t>
        </is>
      </c>
      <c r="E181" t="inlineStr">
        <is>
          <t>LJUSNARSBERG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12489-2023</t>
        </is>
      </c>
      <c r="B182" s="1" t="n">
        <v>44999.69774305556</v>
      </c>
      <c r="C182" s="1" t="n">
        <v>45878</v>
      </c>
      <c r="D182" t="inlineStr">
        <is>
          <t>ÖREBRO LÄN</t>
        </is>
      </c>
      <c r="E182" t="inlineStr">
        <is>
          <t>LJUSNARSBERG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15114-2024</t>
        </is>
      </c>
      <c r="B183" s="1" t="n">
        <v>45399.68209490741</v>
      </c>
      <c r="C183" s="1" t="n">
        <v>45878</v>
      </c>
      <c r="D183" t="inlineStr">
        <is>
          <t>ÖREBRO LÄN</t>
        </is>
      </c>
      <c r="E183" t="inlineStr">
        <is>
          <t>LJUSNARSBERG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29000-2025</t>
        </is>
      </c>
      <c r="B184" s="1" t="n">
        <v>45821.38925925926</v>
      </c>
      <c r="C184" s="1" t="n">
        <v>45878</v>
      </c>
      <c r="D184" t="inlineStr">
        <is>
          <t>ÖREBRO LÄN</t>
        </is>
      </c>
      <c r="E184" t="inlineStr">
        <is>
          <t>LJUSNARSBERG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29009-2025</t>
        </is>
      </c>
      <c r="B185" s="1" t="n">
        <v>45821.40370370371</v>
      </c>
      <c r="C185" s="1" t="n">
        <v>45878</v>
      </c>
      <c r="D185" t="inlineStr">
        <is>
          <t>ÖREBRO LÄN</t>
        </is>
      </c>
      <c r="E185" t="inlineStr">
        <is>
          <t>LJUSNARSBERG</t>
        </is>
      </c>
      <c r="F185" t="inlineStr">
        <is>
          <t>Sveaskog</t>
        </is>
      </c>
      <c r="G185" t="n">
        <v>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39095-2022</t>
        </is>
      </c>
      <c r="B186" s="1" t="n">
        <v>44817</v>
      </c>
      <c r="C186" s="1" t="n">
        <v>45878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29008-2025</t>
        </is>
      </c>
      <c r="B187" s="1" t="n">
        <v>45821.39887731482</v>
      </c>
      <c r="C187" s="1" t="n">
        <v>45878</v>
      </c>
      <c r="D187" t="inlineStr">
        <is>
          <t>ÖREBRO LÄN</t>
        </is>
      </c>
      <c r="E187" t="inlineStr">
        <is>
          <t>LJUSNARSBERG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28981-2025</t>
        </is>
      </c>
      <c r="B188" s="1" t="n">
        <v>45821.35517361111</v>
      </c>
      <c r="C188" s="1" t="n">
        <v>45878</v>
      </c>
      <c r="D188" t="inlineStr">
        <is>
          <t>ÖREBRO LÄN</t>
        </is>
      </c>
      <c r="E188" t="inlineStr">
        <is>
          <t>LJUSNARSBERG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32015-2025</t>
        </is>
      </c>
      <c r="B189" s="1" t="n">
        <v>45835</v>
      </c>
      <c r="C189" s="1" t="n">
        <v>45878</v>
      </c>
      <c r="D189" t="inlineStr">
        <is>
          <t>ÖREBRO LÄN</t>
        </is>
      </c>
      <c r="E189" t="inlineStr">
        <is>
          <t>LJUSNARSBERG</t>
        </is>
      </c>
      <c r="F189" t="inlineStr">
        <is>
          <t>Sveaskog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29020-2025</t>
        </is>
      </c>
      <c r="B190" s="1" t="n">
        <v>45821.42728009259</v>
      </c>
      <c r="C190" s="1" t="n">
        <v>45878</v>
      </c>
      <c r="D190" t="inlineStr">
        <is>
          <t>ÖREBRO LÄN</t>
        </is>
      </c>
      <c r="E190" t="inlineStr">
        <is>
          <t>LJUSNARSBERG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30002-2025</t>
        </is>
      </c>
      <c r="B191" s="1" t="n">
        <v>45826.52493055556</v>
      </c>
      <c r="C191" s="1" t="n">
        <v>45878</v>
      </c>
      <c r="D191" t="inlineStr">
        <is>
          <t>ÖREBRO LÄN</t>
        </is>
      </c>
      <c r="E191" t="inlineStr">
        <is>
          <t>LJUSNARSBERG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46146-2022</t>
        </is>
      </c>
      <c r="B192" s="1" t="n">
        <v>44847.4584375</v>
      </c>
      <c r="C192" s="1" t="n">
        <v>45878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29572-2025</t>
        </is>
      </c>
      <c r="B193" s="1" t="n">
        <v>45825.36898148148</v>
      </c>
      <c r="C193" s="1" t="n">
        <v>45878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29595-2025</t>
        </is>
      </c>
      <c r="B194" s="1" t="n">
        <v>45825</v>
      </c>
      <c r="C194" s="1" t="n">
        <v>45878</v>
      </c>
      <c r="D194" t="inlineStr">
        <is>
          <t>ÖREBRO LÄN</t>
        </is>
      </c>
      <c r="E194" t="inlineStr">
        <is>
          <t>LJUSNARSBERG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36425-2025</t>
        </is>
      </c>
      <c r="B195" s="1" t="n">
        <v>45868</v>
      </c>
      <c r="C195" s="1" t="n">
        <v>45878</v>
      </c>
      <c r="D195" t="inlineStr">
        <is>
          <t>ÖREBRO LÄN</t>
        </is>
      </c>
      <c r="E195" t="inlineStr">
        <is>
          <t>LJUSNARSBERG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30430-2025</t>
        </is>
      </c>
      <c r="B196" s="1" t="n">
        <v>45827</v>
      </c>
      <c r="C196" s="1" t="n">
        <v>45878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30428-2025</t>
        </is>
      </c>
      <c r="B197" s="1" t="n">
        <v>45827</v>
      </c>
      <c r="C197" s="1" t="n">
        <v>45878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1683-2023</t>
        </is>
      </c>
      <c r="B198" s="1" t="n">
        <v>44938</v>
      </c>
      <c r="C198" s="1" t="n">
        <v>45878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11294-2025</t>
        </is>
      </c>
      <c r="B199" s="1" t="n">
        <v>45726.4325462963</v>
      </c>
      <c r="C199" s="1" t="n">
        <v>45878</v>
      </c>
      <c r="D199" t="inlineStr">
        <is>
          <t>ÖREBRO LÄN</t>
        </is>
      </c>
      <c r="E199" t="inlineStr">
        <is>
          <t>LJUSNARSBERG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30930-2025</t>
        </is>
      </c>
      <c r="B200" s="1" t="n">
        <v>45832.39980324074</v>
      </c>
      <c r="C200" s="1" t="n">
        <v>45878</v>
      </c>
      <c r="D200" t="inlineStr">
        <is>
          <t>ÖREBRO LÄN</t>
        </is>
      </c>
      <c r="E200" t="inlineStr">
        <is>
          <t>LJUSNARSBERG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30928-2025</t>
        </is>
      </c>
      <c r="B201" s="1" t="n">
        <v>45832.39780092592</v>
      </c>
      <c r="C201" s="1" t="n">
        <v>45878</v>
      </c>
      <c r="D201" t="inlineStr">
        <is>
          <t>ÖREBRO LÄN</t>
        </is>
      </c>
      <c r="E201" t="inlineStr">
        <is>
          <t>LJUSNARSBERG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7903-2022</t>
        </is>
      </c>
      <c r="B202" s="1" t="n">
        <v>44607</v>
      </c>
      <c r="C202" s="1" t="n">
        <v>45878</v>
      </c>
      <c r="D202" t="inlineStr">
        <is>
          <t>ÖREBRO LÄN</t>
        </is>
      </c>
      <c r="E202" t="inlineStr">
        <is>
          <t>LJUSNARSBERG</t>
        </is>
      </c>
      <c r="F202" t="inlineStr">
        <is>
          <t>Kyrkan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52883-2024</t>
        </is>
      </c>
      <c r="B203" s="1" t="n">
        <v>45610</v>
      </c>
      <c r="C203" s="1" t="n">
        <v>45878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30.7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62843-2021</t>
        </is>
      </c>
      <c r="B204" s="1" t="n">
        <v>44503</v>
      </c>
      <c r="C204" s="1" t="n">
        <v>45878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42761-2023</t>
        </is>
      </c>
      <c r="B205" s="1" t="n">
        <v>45177</v>
      </c>
      <c r="C205" s="1" t="n">
        <v>45878</v>
      </c>
      <c r="D205" t="inlineStr">
        <is>
          <t>ÖREBRO LÄN</t>
        </is>
      </c>
      <c r="E205" t="inlineStr">
        <is>
          <t>LJUSNARSBERG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30931-2025</t>
        </is>
      </c>
      <c r="B206" s="1" t="n">
        <v>45832.40206018519</v>
      </c>
      <c r="C206" s="1" t="n">
        <v>45878</v>
      </c>
      <c r="D206" t="inlineStr">
        <is>
          <t>ÖREBRO LÄN</t>
        </is>
      </c>
      <c r="E206" t="inlineStr">
        <is>
          <t>LJUSNARSBERG</t>
        </is>
      </c>
      <c r="F206" t="inlineStr">
        <is>
          <t>Sveaskog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30935-2025</t>
        </is>
      </c>
      <c r="B207" s="1" t="n">
        <v>45832.40581018518</v>
      </c>
      <c r="C207" s="1" t="n">
        <v>45878</v>
      </c>
      <c r="D207" t="inlineStr">
        <is>
          <t>ÖREBRO LÄN</t>
        </is>
      </c>
      <c r="E207" t="inlineStr">
        <is>
          <t>LJUSNARSBERG</t>
        </is>
      </c>
      <c r="F207" t="inlineStr">
        <is>
          <t>Sveaskog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31357-2025</t>
        </is>
      </c>
      <c r="B208" s="1" t="n">
        <v>45832</v>
      </c>
      <c r="C208" s="1" t="n">
        <v>45878</v>
      </c>
      <c r="D208" t="inlineStr">
        <is>
          <t>ÖREBRO LÄN</t>
        </is>
      </c>
      <c r="E208" t="inlineStr">
        <is>
          <t>LJUSNARSBERG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31549-2021</t>
        </is>
      </c>
      <c r="B209" s="1" t="n">
        <v>44369</v>
      </c>
      <c r="C209" s="1" t="n">
        <v>45878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61580-2023</t>
        </is>
      </c>
      <c r="B210" s="1" t="n">
        <v>45265</v>
      </c>
      <c r="C210" s="1" t="n">
        <v>45878</v>
      </c>
      <c r="D210" t="inlineStr">
        <is>
          <t>ÖREBRO LÄN</t>
        </is>
      </c>
      <c r="E210" t="inlineStr">
        <is>
          <t>LJUSNARSBERG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57090-2022</t>
        </is>
      </c>
      <c r="B211" s="1" t="n">
        <v>44895.46328703704</v>
      </c>
      <c r="C211" s="1" t="n">
        <v>45878</v>
      </c>
      <c r="D211" t="inlineStr">
        <is>
          <t>ÖREBRO LÄN</t>
        </is>
      </c>
      <c r="E211" t="inlineStr">
        <is>
          <t>LJUSNARSBERG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17276-2023</t>
        </is>
      </c>
      <c r="B212" s="1" t="n">
        <v>45035</v>
      </c>
      <c r="C212" s="1" t="n">
        <v>45878</v>
      </c>
      <c r="D212" t="inlineStr">
        <is>
          <t>ÖREBRO LÄN</t>
        </is>
      </c>
      <c r="E212" t="inlineStr">
        <is>
          <t>LJUSNARSBERG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35151-2023</t>
        </is>
      </c>
      <c r="B213" s="1" t="n">
        <v>45145</v>
      </c>
      <c r="C213" s="1" t="n">
        <v>45878</v>
      </c>
      <c r="D213" t="inlineStr">
        <is>
          <t>ÖREBRO LÄN</t>
        </is>
      </c>
      <c r="E213" t="inlineStr">
        <is>
          <t>LJUSNARSBERG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62421-2022</t>
        </is>
      </c>
      <c r="B214" s="1" t="n">
        <v>44916</v>
      </c>
      <c r="C214" s="1" t="n">
        <v>45878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16613-2023</t>
        </is>
      </c>
      <c r="B215" s="1" t="n">
        <v>45030</v>
      </c>
      <c r="C215" s="1" t="n">
        <v>45878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40442-2024</t>
        </is>
      </c>
      <c r="B216" s="1" t="n">
        <v>45555.48539351852</v>
      </c>
      <c r="C216" s="1" t="n">
        <v>45878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2025-08-09T18:53:44Z</dcterms:created>
  <dcterms:modified xmlns:dcterms="http://purl.org/dc/terms/" xmlns:xsi="http://www.w3.org/2001/XMLSchema-instance" xsi:type="dcterms:W3CDTF">2025-08-09T18:53:44Z</dcterms:modified>
</cp:coreProperties>
</file>