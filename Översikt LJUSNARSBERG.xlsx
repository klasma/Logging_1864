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46316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46316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46316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46316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46316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46316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46316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46316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46316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46316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46316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46316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46316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46316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46316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46316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46316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46316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18857-2026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46316</v>
      </c>
      <c r="F24" t="inlineStr">
        <is>
          <t>ÖREBRO LÄN</t>
        </is>
      </c>
      <c r="G24" t="inlineStr">
        <is>
          <t>LJUSNARSBERG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Trana</t>
        </is>
      </c>
      <c r="W24">
        <f>HYPERLINK("https://klasma.github.io/Logging_1864/artfynd/A 18857-2026 artfynd.xlsx", "A 18857-2026")</f>
        <v/>
      </c>
      <c r="X24">
        <f>HYPERLINK("https://klasma.github.io/Logging_1864/kartor/A 18857-2026 karta.png", "A 18857-2026")</f>
        <v/>
      </c>
      <c r="Y24">
        <f>HYPERLINK("https://klasma.github.io/Logging_1864/kartor_geotiff/A 18857-2026 georefererad karta.tif", "A 18857-2026")</f>
        <v/>
      </c>
      <c r="AA24">
        <f>HYPERLINK("https://klasma.github.io/Logging_1864/klagomål/A 18857-2026 FSC-klagomål.docx", "A 18857-2026")</f>
        <v/>
      </c>
      <c r="AB24">
        <f>HYPERLINK("https://klasma.github.io/Logging_1864/klagomålsmail/A 18857-2026 FSC-klagomål mail.docx", "A 18857-2026")</f>
        <v/>
      </c>
      <c r="AC24">
        <f>HYPERLINK("https://klasma.github.io/Logging_1864/tillsyn/A 18857-2026 tillsynsbegäran.docx", "A 18857-2026")</f>
        <v/>
      </c>
      <c r="AD24">
        <f>HYPERLINK("https://klasma.github.io/Logging_1864/tillsynsmail/A 18857-2026 tillsynsbegäran mail.docx", "A 18857-2026")</f>
        <v/>
      </c>
      <c r="AE24">
        <f>HYPERLINK("https://klasma.github.io/Logging_1864/fåglar/A 18857-2026 prioriterade fågelarter.docx", "A 18857-2026")</f>
        <v/>
      </c>
    </row>
    <row r="25" ht="15" customHeight="1">
      <c r="A25" t="inlineStr">
        <is>
          <t>A 24348-2026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46316</v>
      </c>
      <c r="F25" t="inlineStr">
        <is>
          <t>ÖREBRO LÄN</t>
        </is>
      </c>
      <c r="G25" t="inlineStr">
        <is>
          <t>LJUSNARSBERG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HYPERLINK("https://klasma.github.io/Logging_1864/artfynd/A 24348-2026 artfynd.xlsx", "A 24348-2026")</f>
        <v/>
      </c>
      <c r="X25">
        <f>HYPERLINK("https://klasma.github.io/Logging_1864/kartor/A 24348-2026 karta.png", "A 24348-2026")</f>
        <v/>
      </c>
      <c r="Y25">
        <f>HYPERLINK("https://klasma.github.io/Logging_1864/kartor_geotiff/A 24348-2026 georefererad karta.tif", "A 24348-2026")</f>
        <v/>
      </c>
      <c r="AA25">
        <f>HYPERLINK("https://klasma.github.io/Logging_1864/klagomål/A 24348-2026 FSC-klagomål.docx", "A 24348-2026")</f>
        <v/>
      </c>
      <c r="AB25">
        <f>HYPERLINK("https://klasma.github.io/Logging_1864/klagomålsmail/A 24348-2026 FSC-klagomål mail.docx", "A 24348-2026")</f>
        <v/>
      </c>
      <c r="AC25">
        <f>HYPERLINK("https://klasma.github.io/Logging_1864/tillsyn/A 24348-2026 tillsynsbegäran.docx", "A 24348-2026")</f>
        <v/>
      </c>
      <c r="AD25">
        <f>HYPERLINK("https://klasma.github.io/Logging_1864/tillsynsmail/A 24348-2026 tillsynsbegäran mail.docx", "A 24348-2026")</f>
        <v/>
      </c>
      <c r="AE25">
        <f>HYPERLINK("https://klasma.github.io/Logging_1864/fåglar/A 24348-2026 prioriterade fågelarter.docx", "A 24348-2026")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46316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46316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46316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46316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46316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46316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46316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46316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46316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46316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46316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46316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46316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46316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46316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46316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46316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46316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46316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46316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46805-2024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46316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46316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46316</v>
      </c>
      <c r="F48" t="inlineStr">
        <is>
          <t>ÖREBRO LÄN</t>
        </is>
      </c>
      <c r="G48" t="inlineStr">
        <is>
          <t>LJUSNARSBERG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45265</v>
      </c>
      <c r="E49" s="1" t="n">
        <v>46316</v>
      </c>
      <c r="F49" t="inlineStr">
        <is>
          <t>ÖREBRO LÄN</t>
        </is>
      </c>
      <c r="G49" t="inlineStr">
        <is>
          <t>LJUSNARSBERG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46316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45399</v>
      </c>
      <c r="E51" s="1" t="n">
        <v>46316</v>
      </c>
      <c r="F51" t="inlineStr">
        <is>
          <t>ÖREBRO LÄN</t>
        </is>
      </c>
      <c r="G51" t="inlineStr">
        <is>
          <t>LJUSNARSBERG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46316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45593</v>
      </c>
      <c r="E53" s="1" t="n">
        <v>46316</v>
      </c>
      <c r="F53" t="inlineStr">
        <is>
          <t>ÖREBRO LÄN</t>
        </is>
      </c>
      <c r="G53" t="inlineStr">
        <is>
          <t>LJUSNARSBERG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45698</v>
      </c>
      <c r="E54" s="1" t="n">
        <v>46316</v>
      </c>
      <c r="F54" t="inlineStr">
        <is>
          <t>ÖREBRO LÄN</t>
        </is>
      </c>
      <c r="G54" t="inlineStr">
        <is>
          <t>LJUSNARSBERG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13389-2024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46316</v>
      </c>
      <c r="F55" t="inlineStr">
        <is>
          <t>ÖREBRO LÄN</t>
        </is>
      </c>
      <c r="G55" t="inlineStr">
        <is>
          <t>LJUSNARSBERG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46316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44999</v>
      </c>
      <c r="E57" s="1" t="n">
        <v>46316</v>
      </c>
      <c r="F57" t="inlineStr">
        <is>
          <t>ÖREBRO LÄN</t>
        </is>
      </c>
      <c r="G57" t="inlineStr">
        <is>
          <t>LJUSNARSBERG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46316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46316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46316</v>
      </c>
      <c r="F60" t="inlineStr">
        <is>
          <t>ÖREBRO LÄN</t>
        </is>
      </c>
      <c r="G60" t="inlineStr">
        <is>
          <t>LJUSNARSBERG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46316</v>
      </c>
      <c r="F61" t="inlineStr">
        <is>
          <t>ÖREBRO LÄN</t>
        </is>
      </c>
      <c r="G61" t="inlineStr">
        <is>
          <t>LJUSNARSBERG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44956</v>
      </c>
      <c r="E62" s="1" t="n">
        <v>46316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45106</v>
      </c>
      <c r="E63" s="1" t="n">
        <v>46316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46316</v>
      </c>
      <c r="F64" t="inlineStr">
        <is>
          <t>ÖREBRO LÄN</t>
        </is>
      </c>
      <c r="G64" t="inlineStr">
        <is>
          <t>LJUSNARSBERG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46316</v>
      </c>
      <c r="F65" t="inlineStr">
        <is>
          <t>ÖREBRO LÄN</t>
        </is>
      </c>
      <c r="G65" t="inlineStr">
        <is>
          <t>LJUSNARSBERG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46013</v>
      </c>
      <c r="E66" s="1" t="n">
        <v>46316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45807</v>
      </c>
      <c r="E67" s="1" t="n">
        <v>46316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20673-2025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45776</v>
      </c>
      <c r="E68" s="1" t="n">
        <v>46316</v>
      </c>
      <c r="F68" t="inlineStr">
        <is>
          <t>ÖREBRO LÄN</t>
        </is>
      </c>
      <c r="G68" t="inlineStr">
        <is>
          <t>LJUSNARSBERG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46316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45895</v>
      </c>
      <c r="E70" s="1" t="n">
        <v>46316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46316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46316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46316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46316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46316</v>
      </c>
      <c r="F75" t="inlineStr">
        <is>
          <t>ÖREBRO LÄN</t>
        </is>
      </c>
      <c r="G75" t="inlineStr">
        <is>
          <t>LJUSNARSBERG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40964-2025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46316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45124</v>
      </c>
      <c r="E77" s="1" t="n">
        <v>46316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46316</v>
      </c>
      <c r="F78" t="inlineStr">
        <is>
          <t>ÖREBRO LÄN</t>
        </is>
      </c>
      <c r="G78" t="inlineStr">
        <is>
          <t>LJUSNARSBERG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46316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46316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46316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46316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46316</v>
      </c>
      <c r="F83" t="inlineStr">
        <is>
          <t>ÖREBRO LÄN</t>
        </is>
      </c>
      <c r="G83" t="inlineStr">
        <is>
          <t>LJUSNARSBERG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46316</v>
      </c>
      <c r="F84" t="inlineStr">
        <is>
          <t>ÖREBRO LÄN</t>
        </is>
      </c>
      <c r="G84" t="inlineStr">
        <is>
          <t>LJUSNARSBERG</t>
        </is>
      </c>
      <c r="I84" t="n">
        <v>17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46316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45825</v>
      </c>
      <c r="E86" s="1" t="n">
        <v>46316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45925</v>
      </c>
      <c r="E87" s="1" t="n">
        <v>46316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46316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45463</v>
      </c>
      <c r="E89" s="1" t="n">
        <v>46316</v>
      </c>
      <c r="F89" t="inlineStr">
        <is>
          <t>ÖREBRO LÄN</t>
        </is>
      </c>
      <c r="G89" t="inlineStr">
        <is>
          <t>LJUSNARSBERG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46316</v>
      </c>
      <c r="F90" t="inlineStr">
        <is>
          <t>ÖREBRO LÄN</t>
        </is>
      </c>
      <c r="G90" t="inlineStr">
        <is>
          <t>LJUSNARSBERG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46316</v>
      </c>
      <c r="F91" t="inlineStr">
        <is>
          <t>ÖREBRO LÄN</t>
        </is>
      </c>
      <c r="G91" t="inlineStr">
        <is>
          <t>LJUSNARSBERG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46316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46316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46316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46316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45827</v>
      </c>
      <c r="E96" s="1" t="n">
        <v>46316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22887-2024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45448</v>
      </c>
      <c r="E97" s="1" t="n">
        <v>46316</v>
      </c>
      <c r="F97" t="inlineStr">
        <is>
          <t>ÖREBRO LÄN</t>
        </is>
      </c>
      <c r="G97" t="inlineStr">
        <is>
          <t>LJUSNARSBERG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46316</v>
      </c>
      <c r="F98" t="inlineStr">
        <is>
          <t>ÖREBRO LÄN</t>
        </is>
      </c>
      <c r="G98" t="inlineStr">
        <is>
          <t>LJUSNARSBERG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45575</v>
      </c>
      <c r="E99" s="1" t="n">
        <v>46316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45827</v>
      </c>
      <c r="E100" s="1" t="n">
        <v>46316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46316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50865-2025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45946</v>
      </c>
      <c r="E102" s="1" t="n">
        <v>46316</v>
      </c>
      <c r="F102" t="inlineStr">
        <is>
          <t>ÖREBRO LÄN</t>
        </is>
      </c>
      <c r="G102" t="inlineStr">
        <is>
          <t>LJUSNARSBERG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45951</v>
      </c>
      <c r="E103" s="1" t="n">
        <v>46316</v>
      </c>
      <c r="F103" t="inlineStr">
        <is>
          <t>ÖREBRO LÄN</t>
        </is>
      </c>
      <c r="G103" t="inlineStr">
        <is>
          <t>LJUSNARSBERG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46316</v>
      </c>
      <c r="F104" t="inlineStr">
        <is>
          <t>ÖREBRO LÄN</t>
        </is>
      </c>
      <c r="G104" t="inlineStr">
        <is>
          <t>LJUSNARSBERG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46316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46316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48353-2022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44858</v>
      </c>
      <c r="E107" s="1" t="n">
        <v>46316</v>
      </c>
      <c r="F107" t="inlineStr">
        <is>
          <t>ÖREBRO LÄN</t>
        </is>
      </c>
      <c r="G107" t="inlineStr">
        <is>
          <t>LJUSNARSBERG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46316</v>
      </c>
      <c r="F108" t="inlineStr">
        <is>
          <t>ÖREBRO LÄN</t>
        </is>
      </c>
      <c r="G108" t="inlineStr">
        <is>
          <t>LJUSNARSBERG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19738-2026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46316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46316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46316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45035</v>
      </c>
      <c r="E112" s="1" t="n">
        <v>46316</v>
      </c>
      <c r="F112" t="inlineStr">
        <is>
          <t>ÖREBRO LÄN</t>
        </is>
      </c>
      <c r="G112" t="inlineStr">
        <is>
          <t>LJUSNARSBERG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46316</v>
      </c>
      <c r="F113" t="inlineStr">
        <is>
          <t>ÖREBRO LÄN</t>
        </is>
      </c>
      <c r="G113" t="inlineStr">
        <is>
          <t>LJUSNARSBERG</t>
        </is>
      </c>
      <c r="H113" t="inlineStr">
        <is>
          <t>Kyrkan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46316</v>
      </c>
      <c r="F114" t="inlineStr">
        <is>
          <t>ÖREBRO LÄN</t>
        </is>
      </c>
      <c r="G114" t="inlineStr">
        <is>
          <t>LJUSNARSBERG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36108-2024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45533</v>
      </c>
      <c r="E115" s="1" t="n">
        <v>46316</v>
      </c>
      <c r="F115" t="inlineStr">
        <is>
          <t>ÖREBRO LÄN</t>
        </is>
      </c>
      <c r="G115" t="inlineStr">
        <is>
          <t>LJUSNARSBERG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46316</v>
      </c>
      <c r="F116" t="inlineStr">
        <is>
          <t>ÖREBRO LÄN</t>
        </is>
      </c>
      <c r="G116" t="inlineStr">
        <is>
          <t>LJUSNARSBERG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45659</v>
      </c>
      <c r="E117" s="1" t="n">
        <v>46316</v>
      </c>
      <c r="F117" t="inlineStr">
        <is>
          <t>ÖREBRO LÄN</t>
        </is>
      </c>
      <c r="G117" t="inlineStr">
        <is>
          <t>LJUSNARSBERG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46316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46316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27343-2025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46316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46316</v>
      </c>
      <c r="F121" t="inlineStr">
        <is>
          <t>ÖREBRO LÄN</t>
        </is>
      </c>
      <c r="G121" t="inlineStr">
        <is>
          <t>LJUSNARSBERG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59497-2024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45638</v>
      </c>
      <c r="E122" s="1" t="n">
        <v>46316</v>
      </c>
      <c r="F122" t="inlineStr">
        <is>
          <t>ÖREBRO LÄN</t>
        </is>
      </c>
      <c r="G122" t="inlineStr">
        <is>
          <t>LJUSNARSBERG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45124</v>
      </c>
      <c r="E123" s="1" t="n">
        <v>46316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46316</v>
      </c>
      <c r="F124" t="inlineStr">
        <is>
          <t>ÖREBRO LÄN</t>
        </is>
      </c>
      <c r="G124" t="inlineStr">
        <is>
          <t>LJUSNARSBERG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21186-2026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46316</v>
      </c>
      <c r="F125" t="inlineStr">
        <is>
          <t>ÖREBRO LÄN</t>
        </is>
      </c>
      <c r="G125" t="inlineStr">
        <is>
          <t>LJUSNARSBERG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46316</v>
      </c>
      <c r="F126" t="inlineStr">
        <is>
          <t>ÖREBRO LÄN</t>
        </is>
      </c>
      <c r="G126" t="inlineStr">
        <is>
          <t>LJUSNARSBERG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46316</v>
      </c>
      <c r="F127" t="inlineStr">
        <is>
          <t>ÖREBRO LÄN</t>
        </is>
      </c>
      <c r="G127" t="inlineStr">
        <is>
          <t>LJUSNARSBERG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46316</v>
      </c>
      <c r="F128" t="inlineStr">
        <is>
          <t>ÖREBRO LÄN</t>
        </is>
      </c>
      <c r="G128" t="inlineStr">
        <is>
          <t>LJUSNARSBERG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22366-2026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46316</v>
      </c>
      <c r="F129" t="inlineStr">
        <is>
          <t>ÖREBRO LÄN</t>
        </is>
      </c>
      <c r="G129" t="inlineStr">
        <is>
          <t>LJUSNARSBERG</t>
        </is>
      </c>
      <c r="I129" t="n">
        <v>14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44847</v>
      </c>
      <c r="E130" s="1" t="n">
        <v>46316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32880-2025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46316</v>
      </c>
      <c r="F131" t="inlineStr">
        <is>
          <t>ÖREBRO LÄN</t>
        </is>
      </c>
      <c r="G131" t="inlineStr">
        <is>
          <t>LJUSNARSBERG</t>
        </is>
      </c>
      <c r="H131" t="inlineStr">
        <is>
          <t>Kommuner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46316</v>
      </c>
      <c r="F132" t="inlineStr">
        <is>
          <t>ÖREBRO LÄN</t>
        </is>
      </c>
      <c r="G132" t="inlineStr">
        <is>
          <t>LJUSNARSBERG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46316</v>
      </c>
      <c r="F133" t="inlineStr">
        <is>
          <t>ÖREBRO LÄN</t>
        </is>
      </c>
      <c r="G133" t="inlineStr">
        <is>
          <t>LJUSNARSBERG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44565</v>
      </c>
      <c r="E134" s="1" t="n">
        <v>46316</v>
      </c>
      <c r="F134" t="inlineStr">
        <is>
          <t>ÖREBRO LÄN</t>
        </is>
      </c>
      <c r="G134" t="inlineStr">
        <is>
          <t>LJUSNARSBERG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23633-2026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46163</v>
      </c>
      <c r="E135" s="1" t="n">
        <v>46316</v>
      </c>
      <c r="F135" t="inlineStr">
        <is>
          <t>ÖREBRO LÄN</t>
        </is>
      </c>
      <c r="G135" t="inlineStr">
        <is>
          <t>LJUSNARSBERG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46316</v>
      </c>
      <c r="F136" t="inlineStr">
        <is>
          <t>ÖREBRO LÄN</t>
        </is>
      </c>
      <c r="G136" t="inlineStr">
        <is>
          <t>LJUSNARSBERG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46316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46167</v>
      </c>
      <c r="E138" s="1" t="n">
        <v>46316</v>
      </c>
      <c r="F138" t="inlineStr">
        <is>
          <t>ÖREBRO LÄN</t>
        </is>
      </c>
      <c r="G138" t="inlineStr">
        <is>
          <t>LJUSNARSBERG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46316</v>
      </c>
      <c r="F139" t="inlineStr">
        <is>
          <t>ÖREBRO LÄN</t>
        </is>
      </c>
      <c r="G139" t="inlineStr">
        <is>
          <t>LJUSNARSBERG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46316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46316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44790</v>
      </c>
      <c r="E142" s="1" t="n">
        <v>46316</v>
      </c>
      <c r="F142" t="inlineStr">
        <is>
          <t>ÖREBRO LÄN</t>
        </is>
      </c>
      <c r="G142" t="inlineStr">
        <is>
          <t>LJUSNARSBERG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46183</v>
      </c>
      <c r="E143" s="1" t="n">
        <v>46316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46316</v>
      </c>
      <c r="F144" t="inlineStr">
        <is>
          <t>ÖREBRO LÄN</t>
        </is>
      </c>
      <c r="G144" t="inlineStr">
        <is>
          <t>LJUSNARSBERG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46316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46316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46316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44999</v>
      </c>
      <c r="E148" s="1" t="n">
        <v>46316</v>
      </c>
      <c r="F148" t="inlineStr">
        <is>
          <t>ÖREBRO LÄN</t>
        </is>
      </c>
      <c r="G148" t="inlineStr">
        <is>
          <t>LJUSNARSBERG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46316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45394</v>
      </c>
      <c r="E150" s="1" t="n">
        <v>46316</v>
      </c>
      <c r="F150" t="inlineStr">
        <is>
          <t>ÖREBRO LÄN</t>
        </is>
      </c>
      <c r="G150" t="inlineStr">
        <is>
          <t>LJUSNARSBERG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46316</v>
      </c>
      <c r="F151" t="inlineStr">
        <is>
          <t>ÖREBRO LÄN</t>
        </is>
      </c>
      <c r="G151" t="inlineStr">
        <is>
          <t>LJUSNARSBERG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46316</v>
      </c>
      <c r="F152" t="inlineStr">
        <is>
          <t>ÖREBRO LÄN</t>
        </is>
      </c>
      <c r="G152" t="inlineStr">
        <is>
          <t>LJUSNARSBERG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46316</v>
      </c>
      <c r="F153" t="inlineStr">
        <is>
          <t>ÖREBRO LÄN</t>
        </is>
      </c>
      <c r="G153" t="inlineStr">
        <is>
          <t>LJUSNARSBERG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46316</v>
      </c>
      <c r="F154" t="inlineStr">
        <is>
          <t>ÖREBRO LÄN</t>
        </is>
      </c>
      <c r="G154" t="inlineStr">
        <is>
          <t>LJUSNARSBERG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44690</v>
      </c>
      <c r="E155" s="1" t="n">
        <v>46316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46316</v>
      </c>
      <c r="F156" t="inlineStr">
        <is>
          <t>ÖREBRO LÄN</t>
        </is>
      </c>
      <c r="G156" t="inlineStr">
        <is>
          <t>LJUSNARSBERG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37866-2026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46279</v>
      </c>
      <c r="E157" s="1" t="n">
        <v>46316</v>
      </c>
      <c r="F157" t="inlineStr">
        <is>
          <t>ÖREBRO LÄN</t>
        </is>
      </c>
      <c r="G157" t="inlineStr">
        <is>
          <t>LJUSNARSBERG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46316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46316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38269-2026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46281</v>
      </c>
      <c r="E160" s="1" t="n">
        <v>46316</v>
      </c>
      <c r="F160" t="inlineStr">
        <is>
          <t>ÖREBRO LÄN</t>
        </is>
      </c>
      <c r="G160" t="inlineStr">
        <is>
          <t>LJUSNARSBERG</t>
        </is>
      </c>
      <c r="H160" t="inlineStr">
        <is>
          <t>Kyrkan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46316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44874</v>
      </c>
      <c r="E162" s="1" t="n">
        <v>46316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33976-2023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45124</v>
      </c>
      <c r="E163" s="1" t="n">
        <v>46316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46316</v>
      </c>
      <c r="F164" t="inlineStr">
        <is>
          <t>ÖREBRO LÄN</t>
        </is>
      </c>
      <c r="G164" t="inlineStr">
        <is>
          <t>LJUSNARSBERG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46247</v>
      </c>
      <c r="E165" s="1" t="n">
        <v>46316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46290</v>
      </c>
      <c r="E166" s="1" t="n">
        <v>46316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46294</v>
      </c>
      <c r="E167" s="1" t="n">
        <v>46316</v>
      </c>
      <c r="F167" t="inlineStr">
        <is>
          <t>ÖREBRO LÄN</t>
        </is>
      </c>
      <c r="G167" t="inlineStr">
        <is>
          <t>LJUSNARSBERG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46251</v>
      </c>
      <c r="E168" s="1" t="n">
        <v>46316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44690</v>
      </c>
      <c r="E169" s="1" t="n">
        <v>46316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46300</v>
      </c>
      <c r="E170" s="1" t="n">
        <v>46316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46316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46316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46300</v>
      </c>
      <c r="E173" s="1" t="n">
        <v>46316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46301</v>
      </c>
      <c r="E174" s="1" t="n">
        <v>46316</v>
      </c>
      <c r="F174" t="inlineStr">
        <is>
          <t>ÖREBRO LÄN</t>
        </is>
      </c>
      <c r="G174" t="inlineStr">
        <is>
          <t>LJUSNARSBERG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41458-2026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46300</v>
      </c>
      <c r="E175" s="1" t="n">
        <v>46316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46316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46301</v>
      </c>
      <c r="E177" s="1" t="n">
        <v>46316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46316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46316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45347</v>
      </c>
      <c r="E180" s="1" t="n">
        <v>46316</v>
      </c>
      <c r="F180" t="inlineStr">
        <is>
          <t>ÖREBRO LÄN</t>
        </is>
      </c>
      <c r="G180" t="inlineStr">
        <is>
          <t>LJUSNARSBERG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45030</v>
      </c>
      <c r="E181" s="1" t="n">
        <v>46316</v>
      </c>
      <c r="F181" t="inlineStr">
        <is>
          <t>ÖREBRO LÄN</t>
        </is>
      </c>
      <c r="G181" t="inlineStr">
        <is>
          <t>LJUSNARSBERG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46307</v>
      </c>
      <c r="E182" s="1" t="n">
        <v>46316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46316</v>
      </c>
      <c r="F183" t="inlineStr">
        <is>
          <t>ÖREBRO LÄN</t>
        </is>
      </c>
      <c r="G183" t="inlineStr">
        <is>
          <t>LJUSNARSBERG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44720</v>
      </c>
      <c r="E184" s="1" t="n">
        <v>46316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44939</v>
      </c>
      <c r="E185" s="1" t="n">
        <v>46316</v>
      </c>
      <c r="F185" t="inlineStr">
        <is>
          <t>ÖREBRO LÄN</t>
        </is>
      </c>
      <c r="G185" t="inlineStr">
        <is>
          <t>LJUSNARSBERG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46315</v>
      </c>
      <c r="E186" s="1" t="n">
        <v>46316</v>
      </c>
      <c r="F186" t="inlineStr">
        <is>
          <t>ÖREBRO LÄN</t>
        </is>
      </c>
      <c r="G186" t="inlineStr">
        <is>
          <t>LJUSNARSBERG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46272</v>
      </c>
      <c r="E187" s="1" t="n">
        <v>46316</v>
      </c>
      <c r="F187" t="inlineStr">
        <is>
          <t>ÖREBRO LÄN</t>
        </is>
      </c>
      <c r="G187" t="inlineStr">
        <is>
          <t>LJUSNARSBERG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44607</v>
      </c>
      <c r="E188" s="1" t="n">
        <v>46316</v>
      </c>
      <c r="F188" t="inlineStr">
        <is>
          <t>ÖREBRO LÄN</t>
        </is>
      </c>
      <c r="G188" t="inlineStr">
        <is>
          <t>LJUSNARSBERG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45177</v>
      </c>
      <c r="E189" s="1" t="n">
        <v>46316</v>
      </c>
      <c r="F189" t="inlineStr">
        <is>
          <t>ÖREBRO LÄN</t>
        </is>
      </c>
      <c r="G189" t="inlineStr">
        <is>
          <t>LJUSNARSBERG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46315</v>
      </c>
      <c r="E190" s="1" t="n">
        <v>46316</v>
      </c>
      <c r="F190" t="inlineStr">
        <is>
          <t>ÖREBRO LÄN</t>
        </is>
      </c>
      <c r="G190" t="inlineStr">
        <is>
          <t>LJUSNARSBERG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36780-2026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46272</v>
      </c>
      <c r="E191" s="1" t="n">
        <v>46316</v>
      </c>
      <c r="F191" t="inlineStr">
        <is>
          <t>ÖREBRO LÄN</t>
        </is>
      </c>
      <c r="G191" t="inlineStr">
        <is>
          <t>LJUSNARSBERG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46316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46316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46316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44694</v>
      </c>
      <c r="E195" s="1" t="n">
        <v>46316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46316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46316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46316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880-2024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45376</v>
      </c>
      <c r="E199" s="1" t="n">
        <v>46316</v>
      </c>
      <c r="F199" t="inlineStr">
        <is>
          <t>ÖREBRO LÄN</t>
        </is>
      </c>
      <c r="G199" t="inlineStr">
        <is>
          <t>LJUSNARSBERG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46316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46316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3528-2023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45205</v>
      </c>
      <c r="E202" s="1" t="n">
        <v>46316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46316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4521-2023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45275</v>
      </c>
      <c r="E204" s="1" t="n">
        <v>46316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1099-2022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44615</v>
      </c>
      <c r="E205" s="1" t="n">
        <v>46316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147.4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2836-2023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45167</v>
      </c>
      <c r="E206" s="1" t="n">
        <v>46316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707-2025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45720</v>
      </c>
      <c r="E207" s="1" t="n">
        <v>46316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1972-2025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45832</v>
      </c>
      <c r="E208" s="1" t="n">
        <v>46316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3578-2025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46010</v>
      </c>
      <c r="E209" s="1" t="n">
        <v>46316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603-2026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46085</v>
      </c>
      <c r="E210" s="1" t="n">
        <v>46316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125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1743-2026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46185</v>
      </c>
      <c r="E211" s="1" t="n">
        <v>46316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2322-2026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46269</v>
      </c>
      <c r="E212" s="1" t="n">
        <v>46316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67.09999999999999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46316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2026-10-21T02:04:58Z</dcterms:created>
  <dcterms:modified xmlns:dcterms="http://purl.org/dc/terms/" xmlns:xsi="http://www.w3.org/2001/XMLSchema-instance" xsi:type="dcterms:W3CDTF">2026-10-21T02:04:58Z</dcterms:modified>
</cp:coreProperties>
</file>