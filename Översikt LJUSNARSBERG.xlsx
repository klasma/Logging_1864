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46250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46250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46250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46250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46250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46250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46250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46250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46250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46250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46250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46250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24299-2026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46250</v>
      </c>
      <c r="F14" t="inlineStr">
        <is>
          <t>ÖREBRO LÄN</t>
        </is>
      </c>
      <c r="G14" t="inlineStr">
        <is>
          <t>LJUSNARSBERG</t>
        </is>
      </c>
      <c r="I14" t="n">
        <v>10.8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Tornseglare
Talltita
Spillkråka
Tofsmes</t>
        </is>
      </c>
      <c r="W14">
        <f>HYPERLINK("https://klasma.github.io/Logging_1864/artfynd/A 24299-2026 artfynd.xlsx", "A 24299-2026")</f>
        <v/>
      </c>
      <c r="X14">
        <f>HYPERLINK("https://klasma.github.io/Logging_1864/kartor/A 24299-2026 karta.png", "A 24299-2026")</f>
        <v/>
      </c>
      <c r="Y14">
        <f>HYPERLINK("https://klasma.github.io/Logging_1864/kartor_geotiff/A 24299-2026 georefererad karta.tif", "A 24299-2026")</f>
        <v/>
      </c>
      <c r="AA14">
        <f>HYPERLINK("https://klasma.github.io/Logging_1864/klagomål/A 24299-2026 FSC-klagomål.docx", "A 24299-2026")</f>
        <v/>
      </c>
      <c r="AB14">
        <f>HYPERLINK("https://klasma.github.io/Logging_1864/klagomålsmail/A 24299-2026 FSC-klagomål mail.docx", "A 24299-2026")</f>
        <v/>
      </c>
      <c r="AC14">
        <f>HYPERLINK("https://klasma.github.io/Logging_1864/tillsyn/A 24299-2026 tillsynsbegäran.docx", "A 24299-2026")</f>
        <v/>
      </c>
      <c r="AD14">
        <f>HYPERLINK("https://klasma.github.io/Logging_1864/tillsynsmail/A 24299-2026 tillsynsbegäran mail.docx", "A 24299-2026")</f>
        <v/>
      </c>
      <c r="AE14">
        <f>HYPERLINK("https://klasma.github.io/Logging_1864/fåglar/A 24299-2026 prioriterade fågelarter.docx", "A 24299-2026")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46250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32309-2022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44781</v>
      </c>
      <c r="E16" s="1" t="n">
        <v>46250</v>
      </c>
      <c r="F16" t="inlineStr">
        <is>
          <t>ÖREBRO LÄN</t>
        </is>
      </c>
      <c r="G16" t="inlineStr">
        <is>
          <t>LJUSNARSBERG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11</v>
      </c>
      <c r="U16" t="n">
        <v>11</v>
      </c>
      <c r="V16" s="2" t="inlineStr">
        <is>
          <t>Tretåig hackspett
Tjäder</t>
        </is>
      </c>
      <c r="W16">
        <f>HYPERLINK("https://klasma.github.io/Logging_1864/artfynd/A 32309-2022 artfynd.xlsx", "A 32309-2022")</f>
        <v/>
      </c>
      <c r="X16">
        <f>HYPERLINK("https://klasma.github.io/Logging_1864/kartor/A 32309-2022 karta.png", "A 32309-2022")</f>
        <v/>
      </c>
      <c r="Y16">
        <f>HYPERLINK("https://klasma.github.io/Logging_1864/kartor_geotiff/A 32309-2022 georefererad karta.tif", "A 32309-2022")</f>
        <v/>
      </c>
      <c r="AA16">
        <f>HYPERLINK("https://klasma.github.io/Logging_1864/klagomål/A 32309-2022 FSC-klagomål.docx", "A 32309-2022")</f>
        <v/>
      </c>
      <c r="AB16">
        <f>HYPERLINK("https://klasma.github.io/Logging_1864/klagomålsmail/A 32309-2022 FSC-klagomål mail.docx", "A 32309-2022")</f>
        <v/>
      </c>
      <c r="AC16">
        <f>HYPERLINK("https://klasma.github.io/Logging_1864/tillsyn/A 32309-2022 tillsynsbegäran.docx", "A 32309-2022")</f>
        <v/>
      </c>
      <c r="AD16">
        <f>HYPERLINK("https://klasma.github.io/Logging_1864/tillsynsmail/A 32309-2022 tillsynsbegäran mail.docx", "A 32309-2022")</f>
        <v/>
      </c>
      <c r="AE16">
        <f>HYPERLINK("https://klasma.github.io/Logging_1864/fåglar/A 32309-2022 prioriterade fågelarter.docx", "A 32309-2022")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46250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40854-2025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45897</v>
      </c>
      <c r="E18" s="1" t="n">
        <v>46250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Tvåblad
Nattviol</t>
        </is>
      </c>
      <c r="W18">
        <f>HYPERLINK("https://klasma.github.io/Logging_1864/artfynd/A 40854-2025 artfynd.xlsx", "A 40854-2025")</f>
        <v/>
      </c>
      <c r="X18">
        <f>HYPERLINK("https://klasma.github.io/Logging_1864/kartor/A 40854-2025 karta.png", "A 40854-2025")</f>
        <v/>
      </c>
      <c r="Y18">
        <f>HYPERLINK("https://klasma.github.io/Logging_1864/kartor_geotiff/A 40854-2025 georefererad karta.tif", "A 40854-2025")</f>
        <v/>
      </c>
      <c r="AA18">
        <f>HYPERLINK("https://klasma.github.io/Logging_1864/klagomål/A 40854-2025 FSC-klagomål.docx", "A 40854-2025")</f>
        <v/>
      </c>
      <c r="AB18">
        <f>HYPERLINK("https://klasma.github.io/Logging_1864/klagomålsmail/A 40854-2025 FSC-klagomål mail.docx", "A 40854-2025")</f>
        <v/>
      </c>
      <c r="AC18">
        <f>HYPERLINK("https://klasma.github.io/Logging_1864/tillsyn/A 40854-2025 tillsynsbegäran.docx", "A 40854-2025")</f>
        <v/>
      </c>
      <c r="AD18">
        <f>HYPERLINK("https://klasma.github.io/Logging_1864/tillsynsmail/A 40854-2025 tillsynsbegäran mail.docx", "A 40854-2025")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46250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46250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46250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Vågbandad barkbock
Fläcknycklar</t>
        </is>
      </c>
      <c r="W21">
        <f>HYPERLINK("https://klasma.github.io/Logging_1864/artfynd/A 24374-2026 artfynd.xlsx", "A 24374-2026")</f>
        <v/>
      </c>
      <c r="X21">
        <f>HYPERLINK("https://klasma.github.io/Logging_1864/kartor/A 24374-2026 karta.png", "A 24374-2026")</f>
        <v/>
      </c>
      <c r="Y21">
        <f>HYPERLINK("https://klasma.github.io/Logging_1864/kartor_geotiff/A 24374-2026 georefererad karta.tif", "A 24374-2026")</f>
        <v/>
      </c>
      <c r="AA21">
        <f>HYPERLINK("https://klasma.github.io/Logging_1864/klagomål/A 24374-2026 FSC-klagomål.docx", "A 24374-2026")</f>
        <v/>
      </c>
      <c r="AB21">
        <f>HYPERLINK("https://klasma.github.io/Logging_1864/klagomålsmail/A 24374-2026 FSC-klagomål mail.docx", "A 24374-2026")</f>
        <v/>
      </c>
      <c r="AC21">
        <f>HYPERLINK("https://klasma.github.io/Logging_1864/tillsyn/A 24374-2026 tillsynsbegäran.docx", "A 24374-2026")</f>
        <v/>
      </c>
      <c r="AD21">
        <f>HYPERLINK("https://klasma.github.io/Logging_1864/tillsynsmail/A 24374-2026 tillsynsbegäran mail.docx", "A 24374-2026")</f>
        <v/>
      </c>
    </row>
    <row r="22" ht="15" customHeight="1">
      <c r="A22" t="inlineStr">
        <is>
          <t>A 33193-2024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45518</v>
      </c>
      <c r="E22" s="1" t="n">
        <v>46250</v>
      </c>
      <c r="F22" t="inlineStr">
        <is>
          <t>ÖREBRO LÄN</t>
        </is>
      </c>
      <c r="G22" t="inlineStr">
        <is>
          <t>LJUSNARSBERG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Dropptaggsvamp
Tjäder</t>
        </is>
      </c>
      <c r="W22">
        <f>HYPERLINK("https://klasma.github.io/Logging_1864/artfynd/A 33193-2024 artfynd.xlsx", "A 33193-2024")</f>
        <v/>
      </c>
      <c r="X22">
        <f>HYPERLINK("https://klasma.github.io/Logging_1864/kartor/A 33193-2024 karta.png", "A 33193-2024")</f>
        <v/>
      </c>
      <c r="Y22">
        <f>HYPERLINK("https://klasma.github.io/Logging_1864/kartor_geotiff/A 33193-2024 georefererad karta.tif", "A 33193-2024")</f>
        <v/>
      </c>
      <c r="AA22">
        <f>HYPERLINK("https://klasma.github.io/Logging_1864/klagomål/A 33193-2024 FSC-klagomål.docx", "A 33193-2024")</f>
        <v/>
      </c>
      <c r="AB22">
        <f>HYPERLINK("https://klasma.github.io/Logging_1864/klagomålsmail/A 33193-2024 FSC-klagomål mail.docx", "A 33193-2024")</f>
        <v/>
      </c>
      <c r="AC22">
        <f>HYPERLINK("https://klasma.github.io/Logging_1864/tillsyn/A 33193-2024 tillsynsbegäran.docx", "A 33193-2024")</f>
        <v/>
      </c>
      <c r="AD22">
        <f>HYPERLINK("https://klasma.github.io/Logging_1864/tillsynsmail/A 33193-2024 tillsynsbegäran mail.docx", "A 33193-2024")</f>
        <v/>
      </c>
      <c r="AE22">
        <f>HYPERLINK("https://klasma.github.io/Logging_1864/fåglar/A 33193-2024 prioriterade fågelarter.docx", "A 33193-2024")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46250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56179-2024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45623</v>
      </c>
      <c r="E24" s="1" t="n">
        <v>46250</v>
      </c>
      <c r="F24" t="inlineStr">
        <is>
          <t>ÖREBRO LÄN</t>
        </is>
      </c>
      <c r="G24" t="inlineStr">
        <is>
          <t>LJUSNARSBERG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Vedticka</t>
        </is>
      </c>
      <c r="W24">
        <f>HYPERLINK("https://klasma.github.io/Logging_1864/artfynd/A 56179-2024 artfynd.xlsx", "A 56179-2024")</f>
        <v/>
      </c>
      <c r="X24">
        <f>HYPERLINK("https://klasma.github.io/Logging_1864/kartor/A 56179-2024 karta.png", "A 56179-2024")</f>
        <v/>
      </c>
      <c r="Y24">
        <f>HYPERLINK("https://klasma.github.io/Logging_1864/kartor_geotiff/A 56179-2024 georefererad karta.tif", "A 56179-2024")</f>
        <v/>
      </c>
      <c r="AA24">
        <f>HYPERLINK("https://klasma.github.io/Logging_1864/klagomål/A 56179-2024 FSC-klagomål.docx", "A 56179-2024")</f>
        <v/>
      </c>
      <c r="AB24">
        <f>HYPERLINK("https://klasma.github.io/Logging_1864/klagomålsmail/A 56179-2024 FSC-klagomål mail.docx", "A 56179-2024")</f>
        <v/>
      </c>
      <c r="AC24">
        <f>HYPERLINK("https://klasma.github.io/Logging_1864/tillsyn/A 56179-2024 tillsynsbegäran.docx", "A 56179-2024")</f>
        <v/>
      </c>
      <c r="AD24">
        <f>HYPERLINK("https://klasma.github.io/Logging_1864/tillsynsmail/A 56179-2024 tillsynsbegäran mail.docx", "A 56179-2024")</f>
        <v/>
      </c>
    </row>
    <row r="25" ht="15" customHeight="1">
      <c r="A25" t="inlineStr">
        <is>
          <t>A 39095-2022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44817</v>
      </c>
      <c r="E25" s="1" t="n">
        <v>46250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HYPERLINK("https://klasma.github.io/Logging_1864/artfynd/A 39095-2022 artfynd.xlsx", "A 39095-2022")</f>
        <v/>
      </c>
      <c r="X25">
        <f>HYPERLINK("https://klasma.github.io/Logging_1864/kartor/A 39095-2022 karta.png", "A 39095-2022")</f>
        <v/>
      </c>
      <c r="Y25">
        <f>HYPERLINK("https://klasma.github.io/Logging_1864/kartor_geotiff/A 39095-2022 georefererad karta.tif", "A 39095-2022")</f>
        <v/>
      </c>
      <c r="AA25">
        <f>HYPERLINK("https://klasma.github.io/Logging_1864/klagomål/A 39095-2022 FSC-klagomål.docx", "A 39095-2022")</f>
        <v/>
      </c>
      <c r="AB25">
        <f>HYPERLINK("https://klasma.github.io/Logging_1864/klagomålsmail/A 39095-2022 FSC-klagomål mail.docx", "A 39095-2022")</f>
        <v/>
      </c>
      <c r="AC25">
        <f>HYPERLINK("https://klasma.github.io/Logging_1864/tillsyn/A 39095-2022 tillsynsbegäran.docx", "A 39095-2022")</f>
        <v/>
      </c>
      <c r="AD25">
        <f>HYPERLINK("https://klasma.github.io/Logging_1864/tillsynsmail/A 39095-2022 tillsynsbegäran mail.docx", "A 39095-2022")</f>
        <v/>
      </c>
    </row>
    <row r="26" ht="15" customHeight="1">
      <c r="A26" t="inlineStr">
        <is>
          <t>A 24791-2024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45460</v>
      </c>
      <c r="E26" s="1" t="n">
        <v>46250</v>
      </c>
      <c r="F26" t="inlineStr">
        <is>
          <t>ÖREBRO LÄN</t>
        </is>
      </c>
      <c r="G26" t="inlineStr">
        <is>
          <t>LJUSNARSBERG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Spillkråka</t>
        </is>
      </c>
      <c r="W26">
        <f>HYPERLINK("https://klasma.github.io/Logging_1864/artfynd/A 24791-2024 artfynd.xlsx", "A 24791-2024")</f>
        <v/>
      </c>
      <c r="X26">
        <f>HYPERLINK("https://klasma.github.io/Logging_1864/kartor/A 24791-2024 karta.png", "A 24791-2024")</f>
        <v/>
      </c>
      <c r="Y26">
        <f>HYPERLINK("https://klasma.github.io/Logging_1864/kartor_geotiff/A 24791-2024 georefererad karta.tif", "A 24791-2024")</f>
        <v/>
      </c>
      <c r="AA26">
        <f>HYPERLINK("https://klasma.github.io/Logging_1864/klagomål/A 24791-2024 FSC-klagomål.docx", "A 24791-2024")</f>
        <v/>
      </c>
      <c r="AB26">
        <f>HYPERLINK("https://klasma.github.io/Logging_1864/klagomålsmail/A 24791-2024 FSC-klagomål mail.docx", "A 24791-2024")</f>
        <v/>
      </c>
      <c r="AC26">
        <f>HYPERLINK("https://klasma.github.io/Logging_1864/tillsyn/A 24791-2024 tillsynsbegäran.docx", "A 24791-2024")</f>
        <v/>
      </c>
      <c r="AD26">
        <f>HYPERLINK("https://klasma.github.io/Logging_1864/tillsynsmail/A 24791-2024 tillsynsbegäran mail.docx", "A 24791-2024")</f>
        <v/>
      </c>
      <c r="AE26">
        <f>HYPERLINK("https://klasma.github.io/Logging_1864/fåglar/A 24791-2024 prioriterade fågelarter.docx", "A 24791-2024")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46250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vattensalamander</t>
        </is>
      </c>
      <c r="W27">
        <f>HYPERLINK("https://klasma.github.io/Logging_1864/artfynd/A 56859-2025 artfynd.xlsx", "A 56859-2025")</f>
        <v/>
      </c>
      <c r="X27">
        <f>HYPERLINK("https://klasma.github.io/Logging_1864/kartor/A 56859-2025 karta.png", "A 56859-2025")</f>
        <v/>
      </c>
      <c r="Y27">
        <f>HYPERLINK("https://klasma.github.io/Logging_1864/kartor_geotiff/A 56859-2025 georefererad karta.tif", "A 56859-2025")</f>
        <v/>
      </c>
      <c r="AA27">
        <f>HYPERLINK("https://klasma.github.io/Logging_1864/klagomål/A 56859-2025 FSC-klagomål.docx", "A 56859-2025")</f>
        <v/>
      </c>
      <c r="AB27">
        <f>HYPERLINK("https://klasma.github.io/Logging_1864/klagomålsmail/A 56859-2025 FSC-klagomål mail.docx", "A 56859-2025")</f>
        <v/>
      </c>
      <c r="AC27">
        <f>HYPERLINK("https://klasma.github.io/Logging_1864/tillsyn/A 56859-2025 tillsynsbegäran.docx", "A 56859-2025")</f>
        <v/>
      </c>
      <c r="AD27">
        <f>HYPERLINK("https://klasma.github.io/Logging_1864/tillsynsmail/A 56859-2025 tillsynsbegäran mail.docx", "A 56859-2025")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46250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19940-2026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46250</v>
      </c>
      <c r="F29" t="inlineStr">
        <is>
          <t>ÖREBRO LÄN</t>
        </is>
      </c>
      <c r="G29" t="inlineStr">
        <is>
          <t>LJUSNARSBERG</t>
        </is>
      </c>
      <c r="H29" t="inlineStr">
        <is>
          <t>Sveaskog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HYPERLINK("https://klasma.github.io/Logging_1864/artfynd/A 19940-2026 artfynd.xlsx", "A 19940-2026")</f>
        <v/>
      </c>
      <c r="X29">
        <f>HYPERLINK("https://klasma.github.io/Logging_1864/kartor/A 19940-2026 karta.png", "A 19940-2026")</f>
        <v/>
      </c>
      <c r="Y29">
        <f>HYPERLINK("https://klasma.github.io/Logging_1864/kartor_geotiff/A 19940-2026 georefererad karta.tif", "A 19940-2026")</f>
        <v/>
      </c>
      <c r="AA29">
        <f>HYPERLINK("https://klasma.github.io/Logging_1864/klagomål/A 19940-2026 FSC-klagomål.docx", "A 19940-2026")</f>
        <v/>
      </c>
      <c r="AB29">
        <f>HYPERLINK("https://klasma.github.io/Logging_1864/klagomålsmail/A 19940-2026 FSC-klagomål mail.docx", "A 19940-2026")</f>
        <v/>
      </c>
      <c r="AC29">
        <f>HYPERLINK("https://klasma.github.io/Logging_1864/tillsyn/A 19940-2026 tillsynsbegäran.docx", "A 19940-2026")</f>
        <v/>
      </c>
      <c r="AD29">
        <f>HYPERLINK("https://klasma.github.io/Logging_1864/tillsynsmail/A 19940-2026 tillsynsbegäran mail.docx", "A 19940-2026")</f>
        <v/>
      </c>
    </row>
    <row r="30" ht="15" customHeight="1">
      <c r="A30" t="inlineStr">
        <is>
          <t>A 45537-2024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45578</v>
      </c>
      <c r="E30" s="1" t="n">
        <v>46250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HYPERLINK("https://klasma.github.io/Logging_1864/artfynd/A 45537-2024 artfynd.xlsx", "A 45537-2024")</f>
        <v/>
      </c>
      <c r="X30">
        <f>HYPERLINK("https://klasma.github.io/Logging_1864/kartor/A 45537-2024 karta.png", "A 45537-2024")</f>
        <v/>
      </c>
      <c r="Y30">
        <f>HYPERLINK("https://klasma.github.io/Logging_1864/kartor_geotiff/A 45537-2024 georefererad karta.tif", "A 45537-2024")</f>
        <v/>
      </c>
      <c r="AA30">
        <f>HYPERLINK("https://klasma.github.io/Logging_1864/klagomål/A 45537-2024 FSC-klagomål.docx", "A 45537-2024")</f>
        <v/>
      </c>
      <c r="AB30">
        <f>HYPERLINK("https://klasma.github.io/Logging_1864/klagomålsmail/A 45537-2024 FSC-klagomål mail.docx", "A 45537-2024")</f>
        <v/>
      </c>
      <c r="AC30">
        <f>HYPERLINK("https://klasma.github.io/Logging_1864/tillsyn/A 45537-2024 tillsynsbegäran.docx", "A 45537-2024")</f>
        <v/>
      </c>
      <c r="AD30">
        <f>HYPERLINK("https://klasma.github.io/Logging_1864/tillsynsmail/A 45537-2024 tillsynsbegäran mail.docx", "A 45537-2024")</f>
        <v/>
      </c>
    </row>
    <row r="31" ht="15" customHeight="1">
      <c r="A31" t="inlineStr">
        <is>
          <t>A 18857-2026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46250</v>
      </c>
      <c r="F31" t="inlineStr">
        <is>
          <t>ÖREBRO LÄN</t>
        </is>
      </c>
      <c r="G31" t="inlineStr">
        <is>
          <t>LJUSNARSBERG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Trana</t>
        </is>
      </c>
      <c r="W31">
        <f>HYPERLINK("https://klasma.github.io/Logging_1864/artfynd/A 18857-2026 artfynd.xlsx", "A 18857-2026")</f>
        <v/>
      </c>
      <c r="X31">
        <f>HYPERLINK("https://klasma.github.io/Logging_1864/kartor/A 18857-2026 karta.png", "A 18857-2026")</f>
        <v/>
      </c>
      <c r="Y31">
        <f>HYPERLINK("https://klasma.github.io/Logging_1864/kartor_geotiff/A 18857-2026 georefererad karta.tif", "A 18857-2026")</f>
        <v/>
      </c>
      <c r="AA31">
        <f>HYPERLINK("https://klasma.github.io/Logging_1864/klagomål/A 18857-2026 FSC-klagomål.docx", "A 18857-2026")</f>
        <v/>
      </c>
      <c r="AB31">
        <f>HYPERLINK("https://klasma.github.io/Logging_1864/klagomålsmail/A 18857-2026 FSC-klagomål mail.docx", "A 18857-2026")</f>
        <v/>
      </c>
      <c r="AC31">
        <f>HYPERLINK("https://klasma.github.io/Logging_1864/tillsyn/A 18857-2026 tillsynsbegäran.docx", "A 18857-2026")</f>
        <v/>
      </c>
      <c r="AD31">
        <f>HYPERLINK("https://klasma.github.io/Logging_1864/tillsynsmail/A 18857-2026 tillsynsbegäran mail.docx", "A 18857-2026")</f>
        <v/>
      </c>
      <c r="AE31">
        <f>HYPERLINK("https://klasma.github.io/Logging_1864/fåglar/A 18857-2026 prioriterade fågelarter.docx", "A 18857-2026")</f>
        <v/>
      </c>
    </row>
    <row r="32" ht="15" customHeight="1">
      <c r="A32" t="inlineStr">
        <is>
          <t>A 24348-2026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46250</v>
      </c>
      <c r="F32" t="inlineStr">
        <is>
          <t>ÖREBRO LÄN</t>
        </is>
      </c>
      <c r="G32" t="inlineStr">
        <is>
          <t>LJUSNARSBERG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HYPERLINK("https://klasma.github.io/Logging_1864/artfynd/A 24348-2026 artfynd.xlsx", "A 24348-2026")</f>
        <v/>
      </c>
      <c r="X32">
        <f>HYPERLINK("https://klasma.github.io/Logging_1864/kartor/A 24348-2026 karta.png", "A 24348-2026")</f>
        <v/>
      </c>
      <c r="Y32">
        <f>HYPERLINK("https://klasma.github.io/Logging_1864/kartor_geotiff/A 24348-2026 georefererad karta.tif", "A 24348-2026")</f>
        <v/>
      </c>
      <c r="AA32">
        <f>HYPERLINK("https://klasma.github.io/Logging_1864/klagomål/A 24348-2026 FSC-klagomål.docx", "A 24348-2026")</f>
        <v/>
      </c>
      <c r="AB32">
        <f>HYPERLINK("https://klasma.github.io/Logging_1864/klagomålsmail/A 24348-2026 FSC-klagomål mail.docx", "A 24348-2026")</f>
        <v/>
      </c>
      <c r="AC32">
        <f>HYPERLINK("https://klasma.github.io/Logging_1864/tillsyn/A 24348-2026 tillsynsbegäran.docx", "A 24348-2026")</f>
        <v/>
      </c>
      <c r="AD32">
        <f>HYPERLINK("https://klasma.github.io/Logging_1864/tillsynsmail/A 24348-2026 tillsynsbegäran mail.docx", "A 24348-2026")</f>
        <v/>
      </c>
      <c r="AE32">
        <f>HYPERLINK("https://klasma.github.io/Logging_1864/fåglar/A 24348-2026 prioriterade fågelarter.docx", "A 24348-2026")</f>
        <v/>
      </c>
    </row>
    <row r="33" ht="15" customHeight="1">
      <c r="A33" t="inlineStr">
        <is>
          <t>S 3758-2024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45555</v>
      </c>
      <c r="E33" s="1" t="n">
        <v>46250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14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Bårdlav</t>
        </is>
      </c>
      <c r="W33">
        <f>HYPERLINK("https://klasma.github.io/Logging_1864/artfynd/S 3758-2024 artfynd.xlsx", "S 3758-2024")</f>
        <v/>
      </c>
      <c r="X33">
        <f>HYPERLINK("https://klasma.github.io/Logging_1864/kartor/S 3758-2024 karta.png", "S 3758-2024")</f>
        <v/>
      </c>
      <c r="Y33">
        <f>HYPERLINK("https://klasma.github.io/Logging_1864/kartor_geotiff/S 3758-2024 georefererad karta.tif", "S 3758-2024")</f>
        <v/>
      </c>
      <c r="AA33">
        <f>HYPERLINK("https://klasma.github.io/Logging_1864/klagomål/S 3758-2024 FSC-klagomål.docx", "S 3758-2024")</f>
        <v/>
      </c>
      <c r="AB33">
        <f>HYPERLINK("https://klasma.github.io/Logging_1864/klagomålsmail/S 3758-2024 FSC-klagomål mail.docx", "S 3758-2024")</f>
        <v/>
      </c>
      <c r="AC33">
        <f>HYPERLINK("https://klasma.github.io/Logging_1864/tillsyn/S 3758-2024 tillsynsbegäran.docx", "S 3758-2024")</f>
        <v/>
      </c>
      <c r="AD33">
        <f>HYPERLINK("https://klasma.github.io/Logging_1864/tillsynsmail/S 3758-2024 tillsynsbegäran mail.docx", "S 3758-2024")</f>
        <v/>
      </c>
    </row>
    <row r="34" ht="15" customHeight="1">
      <c r="A34" t="inlineStr">
        <is>
          <t>A 64400-2021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46250</v>
      </c>
      <c r="F34" t="inlineStr">
        <is>
          <t>ÖREBRO LÄN</t>
        </is>
      </c>
      <c r="G34" t="inlineStr">
        <is>
          <t>LJUSNARSBERG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44441</v>
      </c>
      <c r="E35" s="1" t="n">
        <v>46250</v>
      </c>
      <c r="F35" t="inlineStr">
        <is>
          <t>ÖREBRO LÄN</t>
        </is>
      </c>
      <c r="G35" t="inlineStr">
        <is>
          <t>LJUSNARSBERG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72157-2021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44544</v>
      </c>
      <c r="E36" s="1" t="n">
        <v>46250</v>
      </c>
      <c r="F36" t="inlineStr">
        <is>
          <t>ÖREBRO LÄN</t>
        </is>
      </c>
      <c r="G36" t="inlineStr">
        <is>
          <t>LJUSNARSBERG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44858-2021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44438</v>
      </c>
      <c r="E37" s="1" t="n">
        <v>46250</v>
      </c>
      <c r="F37" t="inlineStr">
        <is>
          <t>ÖREBRO LÄN</t>
        </is>
      </c>
      <c r="G37" t="inlineStr">
        <is>
          <t>LJUSNARSBERG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64978-2021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44513</v>
      </c>
      <c r="E38" s="1" t="n">
        <v>46250</v>
      </c>
      <c r="F38" t="inlineStr">
        <is>
          <t>ÖREBRO LÄN</t>
        </is>
      </c>
      <c r="G38" t="inlineStr">
        <is>
          <t>LJUSNARSBERG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46250</v>
      </c>
      <c r="F39" t="inlineStr">
        <is>
          <t>ÖREBRO LÄN</t>
        </is>
      </c>
      <c r="G39" t="inlineStr">
        <is>
          <t>LJUSNARSBERG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44293-2021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44435</v>
      </c>
      <c r="E40" s="1" t="n">
        <v>46250</v>
      </c>
      <c r="F40" t="inlineStr">
        <is>
          <t>ÖREBRO LÄN</t>
        </is>
      </c>
      <c r="G40" t="inlineStr">
        <is>
          <t>LJUSNARSBERG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44595</v>
      </c>
      <c r="E41" s="1" t="n">
        <v>46250</v>
      </c>
      <c r="F41" t="inlineStr">
        <is>
          <t>ÖREBRO LÄN</t>
        </is>
      </c>
      <c r="G41" t="inlineStr">
        <is>
          <t>LJUSNARSBERG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25773-2022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46250</v>
      </c>
      <c r="F42" t="inlineStr">
        <is>
          <t>ÖREBRO LÄN</t>
        </is>
      </c>
      <c r="G42" t="inlineStr">
        <is>
          <t>LJUSNARSBERG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46250</v>
      </c>
      <c r="F43" t="inlineStr">
        <is>
          <t>ÖREBRO LÄN</t>
        </is>
      </c>
      <c r="G43" t="inlineStr">
        <is>
          <t>LJUSNARSBERG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44690</v>
      </c>
      <c r="E44" s="1" t="n">
        <v>46250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46250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44282-2021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44435</v>
      </c>
      <c r="E46" s="1" t="n">
        <v>46250</v>
      </c>
      <c r="F46" t="inlineStr">
        <is>
          <t>ÖREBRO LÄN</t>
        </is>
      </c>
      <c r="G46" t="inlineStr">
        <is>
          <t>LJUSNARSBERG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33858-2022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46250</v>
      </c>
      <c r="F47" t="inlineStr">
        <is>
          <t>ÖREBRO LÄN</t>
        </is>
      </c>
      <c r="G47" t="inlineStr">
        <is>
          <t>LJUSNARSBERG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31998-2022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44778</v>
      </c>
      <c r="E48" s="1" t="n">
        <v>46250</v>
      </c>
      <c r="F48" t="inlineStr">
        <is>
          <t>ÖREBRO LÄN</t>
        </is>
      </c>
      <c r="G48" t="inlineStr">
        <is>
          <t>LJUSNARSBERG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46250</v>
      </c>
      <c r="F49" t="inlineStr">
        <is>
          <t>ÖREBRO LÄN</t>
        </is>
      </c>
      <c r="G49" t="inlineStr">
        <is>
          <t>LJUSNARSBERG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13803-2024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46250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17.8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18975-2025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45764</v>
      </c>
      <c r="E51" s="1" t="n">
        <v>46250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44812</v>
      </c>
      <c r="E52" s="1" t="n">
        <v>46250</v>
      </c>
      <c r="F52" t="inlineStr">
        <is>
          <t>ÖREBRO LÄN</t>
        </is>
      </c>
      <c r="G52" t="inlineStr">
        <is>
          <t>LJUSNARSBERG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45239</v>
      </c>
      <c r="E53" s="1" t="n">
        <v>46250</v>
      </c>
      <c r="F53" t="inlineStr">
        <is>
          <t>ÖREBRO LÄN</t>
        </is>
      </c>
      <c r="G53" t="inlineStr">
        <is>
          <t>LJUSNARSBERG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33861-2022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46250</v>
      </c>
      <c r="F54" t="inlineStr">
        <is>
          <t>ÖREBRO LÄN</t>
        </is>
      </c>
      <c r="G54" t="inlineStr">
        <is>
          <t>LJUSNARSBERG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44468</v>
      </c>
      <c r="E55" s="1" t="n">
        <v>46250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37066-2023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46250</v>
      </c>
      <c r="F56" t="inlineStr">
        <is>
          <t>ÖREBRO LÄN</t>
        </is>
      </c>
      <c r="G56" t="inlineStr">
        <is>
          <t>LJUSNARSBERG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45574</v>
      </c>
      <c r="E57" s="1" t="n">
        <v>46250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46250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46250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46250</v>
      </c>
      <c r="F60" t="inlineStr">
        <is>
          <t>ÖREBRO LÄN</t>
        </is>
      </c>
      <c r="G60" t="inlineStr">
        <is>
          <t>LJUSNARSBERG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46250</v>
      </c>
      <c r="F61" t="inlineStr">
        <is>
          <t>ÖREBRO LÄN</t>
        </is>
      </c>
      <c r="G61" t="inlineStr">
        <is>
          <t>LJUSNARSBERG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17924-2024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46250</v>
      </c>
      <c r="F62" t="inlineStr">
        <is>
          <t>ÖREBRO LÄN</t>
        </is>
      </c>
      <c r="G62" t="inlineStr">
        <is>
          <t>LJUSNARSBERG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45124</v>
      </c>
      <c r="E63" s="1" t="n">
        <v>46250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45124</v>
      </c>
      <c r="E64" s="1" t="n">
        <v>46250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45347</v>
      </c>
      <c r="E65" s="1" t="n">
        <v>46250</v>
      </c>
      <c r="F65" t="inlineStr">
        <is>
          <t>ÖREBRO LÄN</t>
        </is>
      </c>
      <c r="G65" t="inlineStr">
        <is>
          <t>LJUSNARSBERG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29595-2025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46250</v>
      </c>
      <c r="F66" t="inlineStr">
        <is>
          <t>ÖREBRO LÄN</t>
        </is>
      </c>
      <c r="G66" t="inlineStr">
        <is>
          <t>LJUSNARSBERG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45895</v>
      </c>
      <c r="E67" s="1" t="n">
        <v>46250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40477-2025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45895</v>
      </c>
      <c r="E68" s="1" t="n">
        <v>46250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40852-2025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46250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46250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41383-2025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46250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46250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46250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41420-2025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46250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18.1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40964-2025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46250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46250</v>
      </c>
      <c r="F76" t="inlineStr">
        <is>
          <t>ÖREBRO LÄN</t>
        </is>
      </c>
      <c r="G76" t="inlineStr">
        <is>
          <t>LJUSNARSBERG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42287-2025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45903</v>
      </c>
      <c r="E77" s="1" t="n">
        <v>46250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45909</v>
      </c>
      <c r="E78" s="1" t="n">
        <v>46250</v>
      </c>
      <c r="F78" t="inlineStr">
        <is>
          <t>ÖREBRO LÄN</t>
        </is>
      </c>
      <c r="G78" t="inlineStr">
        <is>
          <t>LJUSNARSBERG</t>
        </is>
      </c>
      <c r="I78" t="n">
        <v>17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44479-2025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45916</v>
      </c>
      <c r="E79" s="1" t="n">
        <v>46250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46250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59497-2024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45638</v>
      </c>
      <c r="E81" s="1" t="n">
        <v>46250</v>
      </c>
      <c r="F81" t="inlineStr">
        <is>
          <t>ÖREBRO LÄN</t>
        </is>
      </c>
      <c r="G81" t="inlineStr">
        <is>
          <t>LJUSNARSBERG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46492-2025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45925</v>
      </c>
      <c r="E82" s="1" t="n">
        <v>46250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22887-2024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45448</v>
      </c>
      <c r="E83" s="1" t="n">
        <v>46250</v>
      </c>
      <c r="F83" t="inlineStr">
        <is>
          <t>ÖREBRO LÄN</t>
        </is>
      </c>
      <c r="G83" t="inlineStr">
        <is>
          <t>LJUSNARSBERG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45901</v>
      </c>
      <c r="E84" s="1" t="n">
        <v>46250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46250</v>
      </c>
      <c r="F85" t="inlineStr">
        <is>
          <t>ÖREBRO LÄN</t>
        </is>
      </c>
      <c r="G85" t="inlineStr">
        <is>
          <t>LJUSNARSBERG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48501-2025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46250</v>
      </c>
      <c r="F86" t="inlineStr">
        <is>
          <t>ÖREBRO LÄN</t>
        </is>
      </c>
      <c r="G86" t="inlineStr">
        <is>
          <t>LJUSNARSBERG</t>
        </is>
      </c>
      <c r="H86" t="inlineStr">
        <is>
          <t>Sveaskog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57129-2021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44482</v>
      </c>
      <c r="E87" s="1" t="n">
        <v>46250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17.8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46250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45934</v>
      </c>
      <c r="E89" s="1" t="n">
        <v>46250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44999</v>
      </c>
      <c r="E90" s="1" t="n">
        <v>46250</v>
      </c>
      <c r="F90" t="inlineStr">
        <is>
          <t>ÖREBRO LÄN</t>
        </is>
      </c>
      <c r="G90" t="inlineStr">
        <is>
          <t>LJUSNARSBERG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46250</v>
      </c>
      <c r="F91" t="inlineStr">
        <is>
          <t>ÖREBRO LÄN</t>
        </is>
      </c>
      <c r="G91" t="inlineStr">
        <is>
          <t>LJUSNARSBERG</t>
        </is>
      </c>
      <c r="H91" t="inlineStr">
        <is>
          <t>Sveaskog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46250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37148-2023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45155</v>
      </c>
      <c r="E93" s="1" t="n">
        <v>46250</v>
      </c>
      <c r="F93" t="inlineStr">
        <is>
          <t>ÖREBRO LÄN</t>
        </is>
      </c>
      <c r="G93" t="inlineStr">
        <is>
          <t>LJUSNARSBERG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46250</v>
      </c>
      <c r="F94" t="inlineStr">
        <is>
          <t>ÖREBRO LÄN</t>
        </is>
      </c>
      <c r="G94" t="inlineStr">
        <is>
          <t>LJUSNARSBERG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46250</v>
      </c>
      <c r="F95" t="inlineStr">
        <is>
          <t>ÖREBRO LÄN</t>
        </is>
      </c>
      <c r="G95" t="inlineStr">
        <is>
          <t>LJUSNARSBERG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45933</v>
      </c>
      <c r="E96" s="1" t="n">
        <v>46250</v>
      </c>
      <c r="F96" t="inlineStr">
        <is>
          <t>ÖREBRO LÄN</t>
        </is>
      </c>
      <c r="G96" t="inlineStr">
        <is>
          <t>LJUSNARSBERG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46250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44999</v>
      </c>
      <c r="E98" s="1" t="n">
        <v>46250</v>
      </c>
      <c r="F98" t="inlineStr">
        <is>
          <t>ÖREBRO LÄN</t>
        </is>
      </c>
      <c r="G98" t="inlineStr">
        <is>
          <t>LJUSNARSBERG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45399</v>
      </c>
      <c r="E99" s="1" t="n">
        <v>46250</v>
      </c>
      <c r="F99" t="inlineStr">
        <is>
          <t>ÖREBRO LÄN</t>
        </is>
      </c>
      <c r="G99" t="inlineStr">
        <is>
          <t>LJUSNARSBERG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46250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50865-2025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45946</v>
      </c>
      <c r="E101" s="1" t="n">
        <v>46250</v>
      </c>
      <c r="F101" t="inlineStr">
        <is>
          <t>ÖREBRO LÄN</t>
        </is>
      </c>
      <c r="G101" t="inlineStr">
        <is>
          <t>LJUSNARSBERG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44607</v>
      </c>
      <c r="E102" s="1" t="n">
        <v>46250</v>
      </c>
      <c r="F102" t="inlineStr">
        <is>
          <t>ÖREBRO LÄN</t>
        </is>
      </c>
      <c r="G102" t="inlineStr">
        <is>
          <t>LJUSNARSBERG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45538-2024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45578</v>
      </c>
      <c r="E103" s="1" t="n">
        <v>46250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62843-2021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44503</v>
      </c>
      <c r="E104" s="1" t="n">
        <v>46250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45177</v>
      </c>
      <c r="E105" s="1" t="n">
        <v>46250</v>
      </c>
      <c r="F105" t="inlineStr">
        <is>
          <t>ÖREBRO LÄN</t>
        </is>
      </c>
      <c r="G105" t="inlineStr">
        <is>
          <t>LJUSNARSBERG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45951</v>
      </c>
      <c r="E106" s="1" t="n">
        <v>46250</v>
      </c>
      <c r="F106" t="inlineStr">
        <is>
          <t>ÖREBRO LÄN</t>
        </is>
      </c>
      <c r="G106" t="inlineStr">
        <is>
          <t>LJUSNARSBERG</t>
        </is>
      </c>
      <c r="I106" t="n">
        <v>10.8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44760-2024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45574</v>
      </c>
      <c r="E107" s="1" t="n">
        <v>46250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11.4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45575</v>
      </c>
      <c r="E108" s="1" t="n">
        <v>46250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46250</v>
      </c>
      <c r="F109" t="inlineStr">
        <is>
          <t>ÖREBRO LÄN</t>
        </is>
      </c>
      <c r="G109" t="inlineStr">
        <is>
          <t>LJUSNARSBERG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45583</v>
      </c>
      <c r="E110" s="1" t="n">
        <v>46250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46250</v>
      </c>
      <c r="F111" t="inlineStr">
        <is>
          <t>ÖREBRO LÄN</t>
        </is>
      </c>
      <c r="G111" t="inlineStr">
        <is>
          <t>LJUSNARSBERG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58823-2022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44903</v>
      </c>
      <c r="E112" s="1" t="n">
        <v>46250</v>
      </c>
      <c r="F112" t="inlineStr">
        <is>
          <t>ÖREBRO LÄN</t>
        </is>
      </c>
      <c r="G112" t="inlineStr">
        <is>
          <t>LJUSNARSBERG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25574-2023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45089</v>
      </c>
      <c r="E113" s="1" t="n">
        <v>46250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46250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46250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46250</v>
      </c>
      <c r="F116" t="inlineStr">
        <is>
          <t>ÖREBRO LÄN</t>
        </is>
      </c>
      <c r="G116" t="inlineStr">
        <is>
          <t>LJUSNARSBERG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44690</v>
      </c>
      <c r="E117" s="1" t="n">
        <v>46250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57090-2022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44895</v>
      </c>
      <c r="E118" s="1" t="n">
        <v>46250</v>
      </c>
      <c r="F118" t="inlineStr">
        <is>
          <t>ÖREBRO LÄN</t>
        </is>
      </c>
      <c r="G118" t="inlineStr">
        <is>
          <t>LJUSNARSBERG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45107</v>
      </c>
      <c r="E119" s="1" t="n">
        <v>46250</v>
      </c>
      <c r="F119" t="inlineStr">
        <is>
          <t>ÖREBRO LÄN</t>
        </is>
      </c>
      <c r="G119" t="inlineStr">
        <is>
          <t>LJUSNARSBERG</t>
        </is>
      </c>
      <c r="H119" t="inlineStr">
        <is>
          <t>Sveaskog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46250</v>
      </c>
      <c r="F120" t="inlineStr">
        <is>
          <t>ÖREBRO LÄN</t>
        </is>
      </c>
      <c r="G120" t="inlineStr">
        <is>
          <t>LJUSNARSBERG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46250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19738-2026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46133</v>
      </c>
      <c r="E122" s="1" t="n">
        <v>46250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46250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46250</v>
      </c>
      <c r="F124" t="inlineStr">
        <is>
          <t>ÖREBRO LÄN</t>
        </is>
      </c>
      <c r="G124" t="inlineStr">
        <is>
          <t>LJUSNARSBERG</t>
        </is>
      </c>
      <c r="H124" t="inlineStr">
        <is>
          <t>Sveaskog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59627-2024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45638</v>
      </c>
      <c r="E125" s="1" t="n">
        <v>46250</v>
      </c>
      <c r="F125" t="inlineStr">
        <is>
          <t>ÖREBRO LÄN</t>
        </is>
      </c>
      <c r="G125" t="inlineStr">
        <is>
          <t>LJUSNARSBERG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23346-2022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44720</v>
      </c>
      <c r="E126" s="1" t="n">
        <v>46250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17933-2024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45419</v>
      </c>
      <c r="E127" s="1" t="n">
        <v>46250</v>
      </c>
      <c r="F127" t="inlineStr">
        <is>
          <t>ÖREBRO LÄN</t>
        </is>
      </c>
      <c r="G127" t="inlineStr">
        <is>
          <t>LJUSNARSBERG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23372-2022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44720</v>
      </c>
      <c r="E128" s="1" t="n">
        <v>46250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46250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19937-2026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46136</v>
      </c>
      <c r="E130" s="1" t="n">
        <v>46250</v>
      </c>
      <c r="F130" t="inlineStr">
        <is>
          <t>ÖREBRO LÄN</t>
        </is>
      </c>
      <c r="G130" t="inlineStr">
        <is>
          <t>LJUSNARSBERG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44734</v>
      </c>
      <c r="E131" s="1" t="n">
        <v>46250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17276-2023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46250</v>
      </c>
      <c r="F132" t="inlineStr">
        <is>
          <t>ÖREBRO LÄN</t>
        </is>
      </c>
      <c r="G132" t="inlineStr">
        <is>
          <t>LJUSNARSBERG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35151-2023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45145</v>
      </c>
      <c r="E133" s="1" t="n">
        <v>46250</v>
      </c>
      <c r="F133" t="inlineStr">
        <is>
          <t>ÖREBRO LÄN</t>
        </is>
      </c>
      <c r="G133" t="inlineStr">
        <is>
          <t>LJUSNARSBERG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44916</v>
      </c>
      <c r="E134" s="1" t="n">
        <v>46250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46250</v>
      </c>
      <c r="F135" t="inlineStr">
        <is>
          <t>ÖREBRO LÄN</t>
        </is>
      </c>
      <c r="G135" t="inlineStr">
        <is>
          <t>LJUSNARSBERG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45030</v>
      </c>
      <c r="E136" s="1" t="n">
        <v>46250</v>
      </c>
      <c r="F136" t="inlineStr">
        <is>
          <t>ÖREBRO LÄN</t>
        </is>
      </c>
      <c r="G136" t="inlineStr">
        <is>
          <t>LJUSNARSBERG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46250</v>
      </c>
      <c r="F137" t="inlineStr">
        <is>
          <t>ÖREBRO LÄN</t>
        </is>
      </c>
      <c r="G137" t="inlineStr">
        <is>
          <t>LJUSNARSBERG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46250</v>
      </c>
      <c r="F138" t="inlineStr">
        <is>
          <t>ÖREBRO LÄN</t>
        </is>
      </c>
      <c r="G138" t="inlineStr">
        <is>
          <t>LJUSNARSBERG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46250</v>
      </c>
      <c r="F139" t="inlineStr">
        <is>
          <t>ÖREBRO LÄN</t>
        </is>
      </c>
      <c r="G139" t="inlineStr">
        <is>
          <t>LJUSNARSBERG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46250</v>
      </c>
      <c r="F140" t="inlineStr">
        <is>
          <t>ÖREBRO LÄN</t>
        </is>
      </c>
      <c r="G140" t="inlineStr">
        <is>
          <t>LJUSNARSBERG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36108-2024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45533</v>
      </c>
      <c r="E141" s="1" t="n">
        <v>46250</v>
      </c>
      <c r="F141" t="inlineStr">
        <is>
          <t>ÖREBRO LÄN</t>
        </is>
      </c>
      <c r="G141" t="inlineStr">
        <is>
          <t>LJUSNARSBERG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44874</v>
      </c>
      <c r="E142" s="1" t="n">
        <v>46250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30414-2023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45111</v>
      </c>
      <c r="E143" s="1" t="n">
        <v>46250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43638-2025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46250</v>
      </c>
      <c r="F144" t="inlineStr">
        <is>
          <t>ÖREBRO LÄN</t>
        </is>
      </c>
      <c r="G144" t="inlineStr">
        <is>
          <t>LJUSNARSBERG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45578</v>
      </c>
      <c r="E145" s="1" t="n">
        <v>46250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46263-2021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44442</v>
      </c>
      <c r="E146" s="1" t="n">
        <v>46250</v>
      </c>
      <c r="F146" t="inlineStr">
        <is>
          <t>ÖREBRO LÄN</t>
        </is>
      </c>
      <c r="G146" t="inlineStr">
        <is>
          <t>LJUSNARSBERG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62667-2022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46250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44438</v>
      </c>
      <c r="E148" s="1" t="n">
        <v>46250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45086</v>
      </c>
      <c r="E149" s="1" t="n">
        <v>46250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45106</v>
      </c>
      <c r="E150" s="1" t="n">
        <v>46250</v>
      </c>
      <c r="F150" t="inlineStr">
        <is>
          <t>ÖREBRO LÄN</t>
        </is>
      </c>
      <c r="G150" t="inlineStr">
        <is>
          <t>LJUSNARSBERG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46146</v>
      </c>
      <c r="E151" s="1" t="n">
        <v>46250</v>
      </c>
      <c r="F151" t="inlineStr">
        <is>
          <t>ÖREBRO LÄN</t>
        </is>
      </c>
      <c r="G151" t="inlineStr">
        <is>
          <t>LJUSNARSBERG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21202-2026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46146</v>
      </c>
      <c r="E152" s="1" t="n">
        <v>46250</v>
      </c>
      <c r="F152" t="inlineStr">
        <is>
          <t>ÖREBRO LÄN</t>
        </is>
      </c>
      <c r="G152" t="inlineStr">
        <is>
          <t>LJUSNARSBERG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46250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44690</v>
      </c>
      <c r="E154" s="1" t="n">
        <v>46250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45394</v>
      </c>
      <c r="E155" s="1" t="n">
        <v>46250</v>
      </c>
      <c r="F155" t="inlineStr">
        <is>
          <t>ÖREBRO LÄN</t>
        </is>
      </c>
      <c r="G155" t="inlineStr">
        <is>
          <t>LJUSNARSBERG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46250</v>
      </c>
      <c r="F156" t="inlineStr">
        <is>
          <t>ÖREBRO LÄN</t>
        </is>
      </c>
      <c r="G156" t="inlineStr">
        <is>
          <t>LJUSNARSBERG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22366-2026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46250</v>
      </c>
      <c r="F157" t="inlineStr">
        <is>
          <t>ÖREBRO LÄN</t>
        </is>
      </c>
      <c r="G157" t="inlineStr">
        <is>
          <t>LJUSNARSBERG</t>
        </is>
      </c>
      <c r="I157" t="n">
        <v>14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45839</v>
      </c>
      <c r="E158" s="1" t="n">
        <v>46250</v>
      </c>
      <c r="F158" t="inlineStr">
        <is>
          <t>ÖREBRO LÄN</t>
        </is>
      </c>
      <c r="G158" t="inlineStr">
        <is>
          <t>LJUSNARSBERG</t>
        </is>
      </c>
      <c r="H158" t="inlineStr">
        <is>
          <t>Kommuner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45614</v>
      </c>
      <c r="E159" s="1" t="n">
        <v>46250</v>
      </c>
      <c r="F159" t="inlineStr">
        <is>
          <t>ÖREBRO LÄN</t>
        </is>
      </c>
      <c r="G159" t="inlineStr">
        <is>
          <t>LJUSNARSBERG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59495-2024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45638</v>
      </c>
      <c r="E160" s="1" t="n">
        <v>46250</v>
      </c>
      <c r="F160" t="inlineStr">
        <is>
          <t>ÖREBRO LÄN</t>
        </is>
      </c>
      <c r="G160" t="inlineStr">
        <is>
          <t>LJUSNARSBERG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62810-2021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46250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67746-2021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44524</v>
      </c>
      <c r="E162" s="1" t="n">
        <v>46250</v>
      </c>
      <c r="F162" t="inlineStr">
        <is>
          <t>ÖREBRO LÄN</t>
        </is>
      </c>
      <c r="G162" t="inlineStr">
        <is>
          <t>LJUSNARSBERG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46163</v>
      </c>
      <c r="E163" s="1" t="n">
        <v>46250</v>
      </c>
      <c r="F163" t="inlineStr">
        <is>
          <t>ÖREBRO LÄN</t>
        </is>
      </c>
      <c r="G163" t="inlineStr">
        <is>
          <t>LJUSNARSBERG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46250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46250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46167</v>
      </c>
      <c r="E166" s="1" t="n">
        <v>46250</v>
      </c>
      <c r="F166" t="inlineStr">
        <is>
          <t>ÖREBRO LÄN</t>
        </is>
      </c>
      <c r="G166" t="inlineStr">
        <is>
          <t>LJUSNARSBERG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46082-2024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46250</v>
      </c>
      <c r="F167" t="inlineStr">
        <is>
          <t>ÖREBRO LÄN</t>
        </is>
      </c>
      <c r="G167" t="inlineStr">
        <is>
          <t>LJUSNARSBERG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46167</v>
      </c>
      <c r="E168" s="1" t="n">
        <v>46250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44564</v>
      </c>
      <c r="E169" s="1" t="n">
        <v>46250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45478</v>
      </c>
      <c r="E170" s="1" t="n">
        <v>46250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46167</v>
      </c>
      <c r="E171" s="1" t="n">
        <v>46250</v>
      </c>
      <c r="F171" t="inlineStr">
        <is>
          <t>ÖREBRO LÄN</t>
        </is>
      </c>
      <c r="G171" t="inlineStr">
        <is>
          <t>LJUSNARSBERG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46167</v>
      </c>
      <c r="E172" s="1" t="n">
        <v>46250</v>
      </c>
      <c r="F172" t="inlineStr">
        <is>
          <t>ÖREBRO LÄN</t>
        </is>
      </c>
      <c r="G172" t="inlineStr">
        <is>
          <t>LJUSNARSBERG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45387</v>
      </c>
      <c r="E173" s="1" t="n">
        <v>46250</v>
      </c>
      <c r="F173" t="inlineStr">
        <is>
          <t>ÖREBRO LÄN</t>
        </is>
      </c>
      <c r="G173" t="inlineStr">
        <is>
          <t>LJUSNARSBERG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45698</v>
      </c>
      <c r="E174" s="1" t="n">
        <v>46250</v>
      </c>
      <c r="F174" t="inlineStr">
        <is>
          <t>ÖREBRO LÄN</t>
        </is>
      </c>
      <c r="G174" t="inlineStr">
        <is>
          <t>LJUSNARSBERG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45593</v>
      </c>
      <c r="E175" s="1" t="n">
        <v>46250</v>
      </c>
      <c r="F175" t="inlineStr">
        <is>
          <t>ÖREBRO LÄN</t>
        </is>
      </c>
      <c r="G175" t="inlineStr">
        <is>
          <t>LJUSNARSBERG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46250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34926-2023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45142</v>
      </c>
      <c r="E177" s="1" t="n">
        <v>46250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46250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46250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46250</v>
      </c>
      <c r="F180" t="inlineStr">
        <is>
          <t>ÖREBRO LÄN</t>
        </is>
      </c>
      <c r="G180" t="inlineStr">
        <is>
          <t>LJUSNARSBERG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46250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26469-2025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45807</v>
      </c>
      <c r="E182" s="1" t="n">
        <v>46250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45217</v>
      </c>
      <c r="E183" s="1" t="n">
        <v>46250</v>
      </c>
      <c r="F183" t="inlineStr">
        <is>
          <t>ÖREBRO LÄN</t>
        </is>
      </c>
      <c r="G183" t="inlineStr">
        <is>
          <t>LJUSNARSBERG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20673-2025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45776</v>
      </c>
      <c r="E184" s="1" t="n">
        <v>46250</v>
      </c>
      <c r="F184" t="inlineStr">
        <is>
          <t>ÖREBRO LÄN</t>
        </is>
      </c>
      <c r="G184" t="inlineStr">
        <is>
          <t>LJUSNARSBERG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46250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26379-2026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46250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31295-2023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45103</v>
      </c>
      <c r="E187" s="1" t="n">
        <v>46250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26847-2026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46185</v>
      </c>
      <c r="E188" s="1" t="n">
        <v>46250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14.5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46250</v>
      </c>
      <c r="F189" t="inlineStr">
        <is>
          <t>ÖREBRO LÄN</t>
        </is>
      </c>
      <c r="G189" t="inlineStr">
        <is>
          <t>LJUSNARSBERG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52366-2024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45608</v>
      </c>
      <c r="E190" s="1" t="n">
        <v>46250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46250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46250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45827</v>
      </c>
      <c r="E193" s="1" t="n">
        <v>46250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44694</v>
      </c>
      <c r="E194" s="1" t="n">
        <v>46250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33976-2023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45124</v>
      </c>
      <c r="E195" s="1" t="n">
        <v>46250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46250</v>
      </c>
      <c r="F196" t="inlineStr">
        <is>
          <t>ÖREBRO LÄN</t>
        </is>
      </c>
      <c r="G196" t="inlineStr">
        <is>
          <t>LJUSNARSBERG</t>
        </is>
      </c>
      <c r="H196" t="inlineStr">
        <is>
          <t>Kyrkan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45659</v>
      </c>
      <c r="E197" s="1" t="n">
        <v>46250</v>
      </c>
      <c r="F197" t="inlineStr">
        <is>
          <t>ÖREBRO LÄN</t>
        </is>
      </c>
      <c r="G197" t="inlineStr">
        <is>
          <t>LJUSNARSBERG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59629-2024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45638</v>
      </c>
      <c r="E198" s="1" t="n">
        <v>46250</v>
      </c>
      <c r="F198" t="inlineStr">
        <is>
          <t>ÖREBRO LÄN</t>
        </is>
      </c>
      <c r="G198" t="inlineStr">
        <is>
          <t>LJUSNARSBERG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33245-2026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46246</v>
      </c>
      <c r="E199" s="1" t="n">
        <v>46250</v>
      </c>
      <c r="F199" t="inlineStr">
        <is>
          <t>ÖREBRO LÄN</t>
        </is>
      </c>
      <c r="G199" t="inlineStr">
        <is>
          <t>LJUSNARSBERG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33488-2026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46247</v>
      </c>
      <c r="E200" s="1" t="n">
        <v>46250</v>
      </c>
      <c r="F200" t="inlineStr">
        <is>
          <t>ÖREBRO LÄN</t>
        </is>
      </c>
      <c r="G200" t="inlineStr">
        <is>
          <t>LJUSNARSBERG</t>
        </is>
      </c>
      <c r="H200" t="inlineStr">
        <is>
          <t>Kyrkan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3541-2022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44734</v>
      </c>
      <c r="E201" s="1" t="n">
        <v>46250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10473-2021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44559</v>
      </c>
      <c r="E202" s="1" t="n">
        <v>46250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410-2022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44585</v>
      </c>
      <c r="E203" s="1" t="n">
        <v>46250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1099-2022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44615</v>
      </c>
      <c r="E204" s="1" t="n">
        <v>46250</v>
      </c>
      <c r="F204" t="inlineStr">
        <is>
          <t>ÖREBRO LÄN</t>
        </is>
      </c>
      <c r="G204" t="inlineStr">
        <is>
          <t>LJUSNARSBERG</t>
        </is>
      </c>
      <c r="H204" t="inlineStr">
        <is>
          <t>Sveaskog</t>
        </is>
      </c>
      <c r="I204" t="n">
        <v>147.4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880-2024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45376</v>
      </c>
      <c r="E205" s="1" t="n">
        <v>46250</v>
      </c>
      <c r="F205" t="inlineStr">
        <is>
          <t>ÖREBRO LÄN</t>
        </is>
      </c>
      <c r="G205" t="inlineStr">
        <is>
          <t>LJUSNARSBERG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3528-2023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45205</v>
      </c>
      <c r="E206" s="1" t="n">
        <v>46250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39.4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7278-2021</t>
        </is>
      </c>
      <c r="B207" t="inlineStr">
        <is>
          <t>samrådsanmälan</t>
        </is>
      </c>
      <c r="C207" t="inlineStr">
        <is>
          <t>Åtgärd i nyckelbiotop</t>
        </is>
      </c>
      <c r="D207" s="1" t="n">
        <v>44467</v>
      </c>
      <c r="E207" s="1" t="n">
        <v>46250</v>
      </c>
      <c r="F207" t="inlineStr">
        <is>
          <t>ÖREBRO LÄN</t>
        </is>
      </c>
      <c r="G207" t="inlineStr">
        <is>
          <t>LJUSNARSBERG</t>
        </is>
      </c>
      <c r="H207" t="inlineStr">
        <is>
          <t>Kommuner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4521-2023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45275</v>
      </c>
      <c r="E208" s="1" t="n">
        <v>46250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7277-2021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44467</v>
      </c>
      <c r="E209" s="1" t="n">
        <v>46250</v>
      </c>
      <c r="F209" t="inlineStr">
        <is>
          <t>ÖREBRO LÄN</t>
        </is>
      </c>
      <c r="G209" t="inlineStr">
        <is>
          <t>LJUSNARSBERG</t>
        </is>
      </c>
      <c r="H209" t="inlineStr">
        <is>
          <t>Kommuner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2836-2023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45167</v>
      </c>
      <c r="E210" s="1" t="n">
        <v>46250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707-2025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45720</v>
      </c>
      <c r="E211" s="1" t="n">
        <v>46250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162.6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1972-2025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45832</v>
      </c>
      <c r="E212" s="1" t="n">
        <v>46250</v>
      </c>
      <c r="F212" t="inlineStr">
        <is>
          <t>ÖREBRO LÄN</t>
        </is>
      </c>
      <c r="G212" t="inlineStr">
        <is>
          <t>LJUSNARSBERG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3578-2025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46010</v>
      </c>
      <c r="E213" s="1" t="n">
        <v>46250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603-2026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46085</v>
      </c>
      <c r="E214" s="1" t="n">
        <v>46250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125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1743-2026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46185</v>
      </c>
      <c r="E215" s="1" t="n">
        <v>46250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1624-2026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46174</v>
      </c>
      <c r="E216" s="1" t="n">
        <v>46250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23.6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2026-08-16T01:44:58Z</dcterms:created>
  <dcterms:modified xmlns:dcterms="http://purl.org/dc/terms/" xmlns:xsi="http://www.w3.org/2001/XMLSchema-instance" xsi:type="dcterms:W3CDTF">2026-08-16T01:44:58Z</dcterms:modified>
</cp:coreProperties>
</file>