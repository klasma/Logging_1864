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46296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46296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46296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46296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46296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46296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46296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45536-2024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45578</v>
      </c>
      <c r="E15" s="1" t="n">
        <v>46296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Tvåblad
Fläcknycklar</t>
        </is>
      </c>
      <c r="W15">
        <f>HYPERLINK("https://klasma.github.io/Logging_1864/artfynd/A 45536-2024 artfynd.xlsx", "A 45536-2024")</f>
        <v/>
      </c>
      <c r="X15">
        <f>HYPERLINK("https://klasma.github.io/Logging_1864/kartor/A 45536-2024 karta.png", "A 45536-2024")</f>
        <v/>
      </c>
      <c r="Y15">
        <f>HYPERLINK("https://klasma.github.io/Logging_1864/kartor_geotiff/A 45536-2024 georefererad karta.tif", "A 45536-2024")</f>
        <v/>
      </c>
      <c r="AA15">
        <f>HYPERLINK("https://klasma.github.io/Logging_1864/klagomål/A 45536-2024 FSC-klagomål.docx", "A 45536-2024")</f>
        <v/>
      </c>
      <c r="AB15">
        <f>HYPERLINK("https://klasma.github.io/Logging_1864/klagomålsmail/A 45536-2024 FSC-klagomål mail.docx", "A 45536-2024")</f>
        <v/>
      </c>
      <c r="AC15">
        <f>HYPERLINK("https://klasma.github.io/Logging_1864/tillsyn/A 45536-2024 tillsynsbegäran.docx", "A 45536-2024")</f>
        <v/>
      </c>
      <c r="AD15">
        <f>HYPERLINK("https://klasma.github.io/Logging_1864/tillsynsmail/A 45536-2024 tillsynsbegäran mail.docx", "A 45536-2024")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46296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46296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46296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46296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46296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39095-2022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44817</v>
      </c>
      <c r="E21" s="1" t="n">
        <v>46296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HYPERLINK("https://klasma.github.io/Logging_1864/artfynd/A 39095-2022 artfynd.xlsx", "A 39095-2022")</f>
        <v/>
      </c>
      <c r="X21">
        <f>HYPERLINK("https://klasma.github.io/Logging_1864/kartor/A 39095-2022 karta.png", "A 39095-2022")</f>
        <v/>
      </c>
      <c r="Y21">
        <f>HYPERLINK("https://klasma.github.io/Logging_1864/kartor_geotiff/A 39095-2022 georefererad karta.tif", "A 39095-2022")</f>
        <v/>
      </c>
      <c r="AA21">
        <f>HYPERLINK("https://klasma.github.io/Logging_1864/klagomål/A 39095-2022 FSC-klagomål.docx", "A 39095-2022")</f>
        <v/>
      </c>
      <c r="AB21">
        <f>HYPERLINK("https://klasma.github.io/Logging_1864/klagomålsmail/A 39095-2022 FSC-klagomål mail.docx", "A 39095-2022")</f>
        <v/>
      </c>
      <c r="AC21">
        <f>HYPERLINK("https://klasma.github.io/Logging_1864/tillsyn/A 39095-2022 tillsynsbegäran.docx", "A 39095-2022")</f>
        <v/>
      </c>
      <c r="AD21">
        <f>HYPERLINK("https://klasma.github.io/Logging_1864/tillsynsmail/A 39095-2022 tillsynsbegäran mail.docx", "A 39095-2022")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46296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45537-2024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46296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4.3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HYPERLINK("https://klasma.github.io/Logging_1864/artfynd/A 45537-2024 artfynd.xlsx", "A 45537-2024")</f>
        <v/>
      </c>
      <c r="X23">
        <f>HYPERLINK("https://klasma.github.io/Logging_1864/kartor/A 45537-2024 karta.png", "A 45537-2024")</f>
        <v/>
      </c>
      <c r="Y23">
        <f>HYPERLINK("https://klasma.github.io/Logging_1864/kartor_geotiff/A 45537-2024 georefererad karta.tif", "A 45537-2024")</f>
        <v/>
      </c>
      <c r="AA23">
        <f>HYPERLINK("https://klasma.github.io/Logging_1864/klagomål/A 45537-2024 FSC-klagomål.docx", "A 45537-2024")</f>
        <v/>
      </c>
      <c r="AB23">
        <f>HYPERLINK("https://klasma.github.io/Logging_1864/klagomålsmail/A 45537-2024 FSC-klagomål mail.docx", "A 45537-2024")</f>
        <v/>
      </c>
      <c r="AC23">
        <f>HYPERLINK("https://klasma.github.io/Logging_1864/tillsyn/A 45537-2024 tillsynsbegäran.docx", "A 45537-2024")</f>
        <v/>
      </c>
      <c r="AD23">
        <f>HYPERLINK("https://klasma.github.io/Logging_1864/tillsynsmail/A 45537-2024 tillsynsbegäran mail.docx", "A 45537-2024")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46296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46296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46296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46296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46296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46296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46296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46296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46296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46296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46296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50552-2022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44866</v>
      </c>
      <c r="E36" s="1" t="n">
        <v>46296</v>
      </c>
      <c r="F36" t="inlineStr">
        <is>
          <t>ÖREBRO LÄN</t>
        </is>
      </c>
      <c r="G36" t="inlineStr">
        <is>
          <t>LJUSNARSBERG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44733</v>
      </c>
      <c r="E37" s="1" t="n">
        <v>46296</v>
      </c>
      <c r="F37" t="inlineStr">
        <is>
          <t>ÖREBRO LÄN</t>
        </is>
      </c>
      <c r="G37" t="inlineStr">
        <is>
          <t>LJUSNARSBERG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46296</v>
      </c>
      <c r="F38" t="inlineStr">
        <is>
          <t>ÖREBRO LÄN</t>
        </is>
      </c>
      <c r="G38" t="inlineStr">
        <is>
          <t>LJUSNARSBERG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44690</v>
      </c>
      <c r="E39" s="1" t="n">
        <v>46296</v>
      </c>
      <c r="F39" t="inlineStr">
        <is>
          <t>ÖREBRO LÄN</t>
        </is>
      </c>
      <c r="G39" t="inlineStr">
        <is>
          <t>LJUSNARSBERG</t>
        </is>
      </c>
      <c r="H39" t="inlineStr">
        <is>
          <t>Bergvik skog väst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46296</v>
      </c>
      <c r="F40" t="inlineStr">
        <is>
          <t>ÖREBRO LÄN</t>
        </is>
      </c>
      <c r="G40" t="inlineStr">
        <is>
          <t>LJUSNARSBERG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46296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44778</v>
      </c>
      <c r="E42" s="1" t="n">
        <v>46296</v>
      </c>
      <c r="F42" t="inlineStr">
        <is>
          <t>ÖREBRO LÄN</t>
        </is>
      </c>
      <c r="G42" t="inlineStr">
        <is>
          <t>LJUSNARSBERG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46296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57090-2022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46296</v>
      </c>
      <c r="F44" t="inlineStr">
        <is>
          <t>ÖREBRO LÄN</t>
        </is>
      </c>
      <c r="G44" t="inlineStr">
        <is>
          <t>LJUSNARSBERG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25574-2023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45089</v>
      </c>
      <c r="E45" s="1" t="n">
        <v>46296</v>
      </c>
      <c r="F45" t="inlineStr">
        <is>
          <t>ÖREBRO LÄN</t>
        </is>
      </c>
      <c r="G45" t="inlineStr">
        <is>
          <t>LJUSNARSBERG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46296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46296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46296</v>
      </c>
      <c r="F48" t="inlineStr">
        <is>
          <t>ÖREBRO LÄN</t>
        </is>
      </c>
      <c r="G48" t="inlineStr">
        <is>
          <t>LJUSNARSBERG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46296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46296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25098-2023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46296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46296</v>
      </c>
      <c r="F52" t="inlineStr">
        <is>
          <t>ÖREBRO LÄN</t>
        </is>
      </c>
      <c r="G52" t="inlineStr">
        <is>
          <t>LJUSNARSBERG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62667-2022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46296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46296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46296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44999</v>
      </c>
      <c r="E56" s="1" t="n">
        <v>46296</v>
      </c>
      <c r="F56" t="inlineStr">
        <is>
          <t>ÖREBRO LÄN</t>
        </is>
      </c>
      <c r="G56" t="inlineStr">
        <is>
          <t>LJUSNARSBERG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46296</v>
      </c>
      <c r="F57" t="inlineStr">
        <is>
          <t>ÖREBRO LÄN</t>
        </is>
      </c>
      <c r="G57" t="inlineStr">
        <is>
          <t>LJUSNARSBERG</t>
        </is>
      </c>
      <c r="H57" t="inlineStr">
        <is>
          <t>Kyrkan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42761-2023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45177</v>
      </c>
      <c r="E58" s="1" t="n">
        <v>46296</v>
      </c>
      <c r="F58" t="inlineStr">
        <is>
          <t>ÖREBRO LÄN</t>
        </is>
      </c>
      <c r="G58" t="inlineStr">
        <is>
          <t>LJUSNARSBERG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37066-2023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46296</v>
      </c>
      <c r="F59" t="inlineStr">
        <is>
          <t>ÖREBRO LÄN</t>
        </is>
      </c>
      <c r="G59" t="inlineStr">
        <is>
          <t>LJUSNARSBERG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45390</v>
      </c>
      <c r="E60" s="1" t="n">
        <v>46296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46296</v>
      </c>
      <c r="F61" t="inlineStr">
        <is>
          <t>ÖREBRO LÄN</t>
        </is>
      </c>
      <c r="G61" t="inlineStr">
        <is>
          <t>LJUSNARSBERG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46296</v>
      </c>
      <c r="F62" t="inlineStr">
        <is>
          <t>ÖREBRO LÄN</t>
        </is>
      </c>
      <c r="G62" t="inlineStr">
        <is>
          <t>LJUSNARSBERG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46296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45239</v>
      </c>
      <c r="E64" s="1" t="n">
        <v>46296</v>
      </c>
      <c r="F64" t="inlineStr">
        <is>
          <t>ÖREBRO LÄN</t>
        </is>
      </c>
      <c r="G64" t="inlineStr">
        <is>
          <t>LJUSNARSBERG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46296</v>
      </c>
      <c r="F65" t="inlineStr">
        <is>
          <t>ÖREBRO LÄN</t>
        </is>
      </c>
      <c r="G65" t="inlineStr">
        <is>
          <t>LJUSNARSBERG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31295-2023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46296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62810-2021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46296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46296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46296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17923-2024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46296</v>
      </c>
      <c r="F70" t="inlineStr">
        <is>
          <t>ÖREBRO LÄN</t>
        </is>
      </c>
      <c r="G70" t="inlineStr">
        <is>
          <t>LJUSNARSBERG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46296</v>
      </c>
      <c r="F71" t="inlineStr">
        <is>
          <t>ÖREBRO LÄN</t>
        </is>
      </c>
      <c r="G71" t="inlineStr">
        <is>
          <t>LJUSNARSBERG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45764</v>
      </c>
      <c r="E72" s="1" t="n">
        <v>46296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46296</v>
      </c>
      <c r="F73" t="inlineStr">
        <is>
          <t>ÖREBRO LÄN</t>
        </is>
      </c>
      <c r="G73" t="inlineStr">
        <is>
          <t>LJUSNARSBERG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45578</v>
      </c>
      <c r="E74" s="1" t="n">
        <v>46296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45578</v>
      </c>
      <c r="E75" s="1" t="n">
        <v>46296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62843-2021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46296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46296</v>
      </c>
      <c r="F77" t="inlineStr">
        <is>
          <t>ÖREBRO LÄN</t>
        </is>
      </c>
      <c r="G77" t="inlineStr">
        <is>
          <t>LJUSNARSBERG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46296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46296</v>
      </c>
      <c r="F79" t="inlineStr">
        <is>
          <t>ÖREBRO LÄN</t>
        </is>
      </c>
      <c r="G79" t="inlineStr">
        <is>
          <t>LJUSNARSBERG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44694</v>
      </c>
      <c r="E80" s="1" t="n">
        <v>46296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46296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45124</v>
      </c>
      <c r="E82" s="1" t="n">
        <v>46296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46296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46296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46296</v>
      </c>
      <c r="F85" t="inlineStr">
        <is>
          <t>ÖREBRO LÄN</t>
        </is>
      </c>
      <c r="G85" t="inlineStr">
        <is>
          <t>LJUSNARSBERG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31162-2023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46296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33979-2023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45124</v>
      </c>
      <c r="E87" s="1" t="n">
        <v>46296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28778-2024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46296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45593</v>
      </c>
      <c r="E89" s="1" t="n">
        <v>46296</v>
      </c>
      <c r="F89" t="inlineStr">
        <is>
          <t>ÖREBRO LÄN</t>
        </is>
      </c>
      <c r="G89" t="inlineStr">
        <is>
          <t>LJUSNARSBERG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46296</v>
      </c>
      <c r="F90" t="inlineStr">
        <is>
          <t>ÖREBRO LÄN</t>
        </is>
      </c>
      <c r="G90" t="inlineStr">
        <is>
          <t>LJUSNARSBERG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45387</v>
      </c>
      <c r="E91" s="1" t="n">
        <v>46296</v>
      </c>
      <c r="F91" t="inlineStr">
        <is>
          <t>ÖREBRO LÄN</t>
        </is>
      </c>
      <c r="G91" t="inlineStr">
        <is>
          <t>LJUSNARSBERG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46296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45142</v>
      </c>
      <c r="E93" s="1" t="n">
        <v>46296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46296</v>
      </c>
      <c r="F94" t="inlineStr">
        <is>
          <t>ÖREBRO LÄN</t>
        </is>
      </c>
      <c r="G94" t="inlineStr">
        <is>
          <t>LJUSNARSBERG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46296</v>
      </c>
      <c r="F95" t="inlineStr">
        <is>
          <t>ÖREBRO LÄN</t>
        </is>
      </c>
      <c r="G95" t="inlineStr">
        <is>
          <t>LJUSNARSBERG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46296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46296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46296</v>
      </c>
      <c r="F98" t="inlineStr">
        <is>
          <t>ÖREBRO LÄN</t>
        </is>
      </c>
      <c r="G98" t="inlineStr">
        <is>
          <t>LJUSNARSBERG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67746-2021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46296</v>
      </c>
      <c r="F99" t="inlineStr">
        <is>
          <t>ÖREBRO LÄN</t>
        </is>
      </c>
      <c r="G99" t="inlineStr">
        <is>
          <t>LJUSNARSBERG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59495-2024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45638</v>
      </c>
      <c r="E100" s="1" t="n">
        <v>46296</v>
      </c>
      <c r="F100" t="inlineStr">
        <is>
          <t>ÖREBRO LÄN</t>
        </is>
      </c>
      <c r="G100" t="inlineStr">
        <is>
          <t>LJUSNARSBERG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46296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44847</v>
      </c>
      <c r="E102" s="1" t="n">
        <v>46296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45638</v>
      </c>
      <c r="E103" s="1" t="n">
        <v>46296</v>
      </c>
      <c r="F103" t="inlineStr">
        <is>
          <t>ÖREBRO LÄN</t>
        </is>
      </c>
      <c r="G103" t="inlineStr">
        <is>
          <t>LJUSNARSBERG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45574</v>
      </c>
      <c r="E104" s="1" t="n">
        <v>46296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46296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44690</v>
      </c>
      <c r="E106" s="1" t="n">
        <v>46296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46296</v>
      </c>
      <c r="F107" t="inlineStr">
        <is>
          <t>ÖREBRO LÄN</t>
        </is>
      </c>
      <c r="G107" t="inlineStr">
        <is>
          <t>LJUSNARSBERG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45776</v>
      </c>
      <c r="E108" s="1" t="n">
        <v>46296</v>
      </c>
      <c r="F108" t="inlineStr">
        <is>
          <t>ÖREBRO LÄN</t>
        </is>
      </c>
      <c r="G108" t="inlineStr">
        <is>
          <t>LJUSNARSBERG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46296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44565</v>
      </c>
      <c r="E110" s="1" t="n">
        <v>46296</v>
      </c>
      <c r="F110" t="inlineStr">
        <is>
          <t>ÖREBRO LÄN</t>
        </is>
      </c>
      <c r="G110" t="inlineStr">
        <is>
          <t>LJUSNARSBERG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44916</v>
      </c>
      <c r="E111" s="1" t="n">
        <v>46296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46296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46296</v>
      </c>
      <c r="F113" t="inlineStr">
        <is>
          <t>ÖREBRO LÄN</t>
        </is>
      </c>
      <c r="G113" t="inlineStr">
        <is>
          <t>LJUSNARSBERG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45347</v>
      </c>
      <c r="E114" s="1" t="n">
        <v>46296</v>
      </c>
      <c r="F114" t="inlineStr">
        <is>
          <t>ÖREBRO LÄN</t>
        </is>
      </c>
      <c r="G114" t="inlineStr">
        <is>
          <t>LJUSNARSBERG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46296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46296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46296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46296</v>
      </c>
      <c r="F118" t="inlineStr">
        <is>
          <t>ÖREBRO LÄN</t>
        </is>
      </c>
      <c r="G118" t="inlineStr">
        <is>
          <t>LJUSNARSBERG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44564</v>
      </c>
      <c r="E119" s="1" t="n">
        <v>46296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45030</v>
      </c>
      <c r="E120" s="1" t="n">
        <v>46296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46296</v>
      </c>
      <c r="F121" t="inlineStr">
        <is>
          <t>ÖREBRO LÄN</t>
        </is>
      </c>
      <c r="G121" t="inlineStr">
        <is>
          <t>LJUSNARSBERG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46296</v>
      </c>
      <c r="F122" t="inlineStr">
        <is>
          <t>ÖREBRO LÄN</t>
        </is>
      </c>
      <c r="G122" t="inlineStr">
        <is>
          <t>LJUSNARSBERG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44790</v>
      </c>
      <c r="E123" s="1" t="n">
        <v>46296</v>
      </c>
      <c r="F123" t="inlineStr">
        <is>
          <t>ÖREBRO LÄN</t>
        </is>
      </c>
      <c r="G123" t="inlineStr">
        <is>
          <t>LJUSNARSBERG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46296</v>
      </c>
      <c r="F124" t="inlineStr">
        <is>
          <t>ÖREBRO LÄN</t>
        </is>
      </c>
      <c r="G124" t="inlineStr">
        <is>
          <t>LJUSNARSBERG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46296</v>
      </c>
      <c r="F125" t="inlineStr">
        <is>
          <t>ÖREBRO LÄN</t>
        </is>
      </c>
      <c r="G125" t="inlineStr">
        <is>
          <t>LJUSNARSBERG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45659</v>
      </c>
      <c r="E126" s="1" t="n">
        <v>46296</v>
      </c>
      <c r="F126" t="inlineStr">
        <is>
          <t>ÖREBRO LÄN</t>
        </is>
      </c>
      <c r="G126" t="inlineStr">
        <is>
          <t>LJUSNARSBERG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46296</v>
      </c>
      <c r="F127" t="inlineStr">
        <is>
          <t>ÖREBRO LÄN</t>
        </is>
      </c>
      <c r="G127" t="inlineStr">
        <is>
          <t>LJUSNARSBERG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45832</v>
      </c>
      <c r="E128" s="1" t="n">
        <v>46296</v>
      </c>
      <c r="F128" t="inlineStr">
        <is>
          <t>ÖREBRO LÄN</t>
        </is>
      </c>
      <c r="G128" t="inlineStr">
        <is>
          <t>LJUSNARSBERG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22887-2024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45448</v>
      </c>
      <c r="E129" s="1" t="n">
        <v>46296</v>
      </c>
      <c r="F129" t="inlineStr">
        <is>
          <t>ÖREBRO LÄN</t>
        </is>
      </c>
      <c r="G129" t="inlineStr">
        <is>
          <t>LJUSNARSBERG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46296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46296</v>
      </c>
      <c r="F131" t="inlineStr">
        <is>
          <t>ÖREBRO LÄN</t>
        </is>
      </c>
      <c r="G131" t="inlineStr">
        <is>
          <t>LJUSNARSBERG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45934</v>
      </c>
      <c r="E132" s="1" t="n">
        <v>46296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45934</v>
      </c>
      <c r="E133" s="1" t="n">
        <v>46296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45608</v>
      </c>
      <c r="E134" s="1" t="n">
        <v>46296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45934</v>
      </c>
      <c r="E135" s="1" t="n">
        <v>46296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45934</v>
      </c>
      <c r="E136" s="1" t="n">
        <v>46296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50865-2025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45946</v>
      </c>
      <c r="E137" s="1" t="n">
        <v>46296</v>
      </c>
      <c r="F137" t="inlineStr">
        <is>
          <t>ÖREBRO LÄN</t>
        </is>
      </c>
      <c r="G137" t="inlineStr">
        <is>
          <t>LJUSNARSBERG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45895</v>
      </c>
      <c r="E138" s="1" t="n">
        <v>46296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46296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46296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46296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8.699999999999999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46296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46296</v>
      </c>
      <c r="F143" t="inlineStr">
        <is>
          <t>ÖREBRO LÄN</t>
        </is>
      </c>
      <c r="G143" t="inlineStr">
        <is>
          <t>LJUSNARSBERG</t>
        </is>
      </c>
      <c r="I143" t="n">
        <v>10.8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46296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46296</v>
      </c>
      <c r="F145" t="inlineStr">
        <is>
          <t>ÖREBRO LÄN</t>
        </is>
      </c>
      <c r="G145" t="inlineStr">
        <is>
          <t>LJUSNARSBERG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46296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46296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46296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46296</v>
      </c>
      <c r="F150" t="inlineStr">
        <is>
          <t>ÖREBRO LÄN</t>
        </is>
      </c>
      <c r="G150" t="inlineStr">
        <is>
          <t>LJUSNARSBERG</t>
        </is>
      </c>
      <c r="I150" t="n">
        <v>17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46296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46296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46296</v>
      </c>
      <c r="F154" t="inlineStr">
        <is>
          <t>ÖREBRO LÄN</t>
        </is>
      </c>
      <c r="G154" t="inlineStr">
        <is>
          <t>LJUSNARSBERG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46296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46296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46296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46296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46296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46133</v>
      </c>
      <c r="E160" s="1" t="n">
        <v>46296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46296</v>
      </c>
      <c r="F161" t="inlineStr">
        <is>
          <t>ÖREBRO LÄN</t>
        </is>
      </c>
      <c r="G161" t="inlineStr">
        <is>
          <t>LJUSNARSBERG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46296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45533</v>
      </c>
      <c r="E163" s="1" t="n">
        <v>46296</v>
      </c>
      <c r="F163" t="inlineStr">
        <is>
          <t>ÖREBRO LÄN</t>
        </is>
      </c>
      <c r="G163" t="inlineStr">
        <is>
          <t>LJUSNARSBERG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46296</v>
      </c>
      <c r="F164" t="inlineStr">
        <is>
          <t>ÖREBRO LÄN</t>
        </is>
      </c>
      <c r="G164" t="inlineStr">
        <is>
          <t>LJUSNARSBERG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46296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46296</v>
      </c>
      <c r="F166" t="inlineStr">
        <is>
          <t>ÖREBRO LÄN</t>
        </is>
      </c>
      <c r="G166" t="inlineStr">
        <is>
          <t>LJUSNARSBERG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46296</v>
      </c>
      <c r="F167" t="inlineStr">
        <is>
          <t>ÖREBRO LÄN</t>
        </is>
      </c>
      <c r="G167" t="inlineStr">
        <is>
          <t>LJUSNARSBERG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46296</v>
      </c>
      <c r="F168" t="inlineStr">
        <is>
          <t>ÖREBRO LÄN</t>
        </is>
      </c>
      <c r="G168" t="inlineStr">
        <is>
          <t>LJUSNARSBERG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46296</v>
      </c>
      <c r="F169" t="inlineStr">
        <is>
          <t>ÖREBRO LÄN</t>
        </is>
      </c>
      <c r="G169" t="inlineStr">
        <is>
          <t>LJUSNARSBERG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46296</v>
      </c>
      <c r="F170" t="inlineStr">
        <is>
          <t>ÖREBRO LÄN</t>
        </is>
      </c>
      <c r="G170" t="inlineStr">
        <is>
          <t>LJUSNARSBERG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46296</v>
      </c>
      <c r="F171" t="inlineStr">
        <is>
          <t>ÖREBRO LÄN</t>
        </is>
      </c>
      <c r="G171" t="inlineStr">
        <is>
          <t>LJUSNARSBERG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46296</v>
      </c>
      <c r="F172" t="inlineStr">
        <is>
          <t>ÖREBRO LÄN</t>
        </is>
      </c>
      <c r="G172" t="inlineStr">
        <is>
          <t>LJUSNARSBERG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46296</v>
      </c>
      <c r="F173" t="inlineStr">
        <is>
          <t>ÖREBRO LÄN</t>
        </is>
      </c>
      <c r="G173" t="inlineStr">
        <is>
          <t>LJUSNARSBERG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46296</v>
      </c>
      <c r="F174" t="inlineStr">
        <is>
          <t>ÖREBRO LÄN</t>
        </is>
      </c>
      <c r="G174" t="inlineStr">
        <is>
          <t>LJUSNARSBERG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46296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46296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46296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46296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46296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46167</v>
      </c>
      <c r="E180" s="1" t="n">
        <v>46296</v>
      </c>
      <c r="F180" t="inlineStr">
        <is>
          <t>ÖREBRO LÄN</t>
        </is>
      </c>
      <c r="G180" t="inlineStr">
        <is>
          <t>LJUSNARSBERG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46272</v>
      </c>
      <c r="E181" s="1" t="n">
        <v>46296</v>
      </c>
      <c r="F181" t="inlineStr">
        <is>
          <t>ÖREBRO LÄN</t>
        </is>
      </c>
      <c r="G181" t="inlineStr">
        <is>
          <t>LJUSNARSBERG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36780-2026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46272</v>
      </c>
      <c r="E182" s="1" t="n">
        <v>46296</v>
      </c>
      <c r="F182" t="inlineStr">
        <is>
          <t>ÖREBRO LÄN</t>
        </is>
      </c>
      <c r="G182" t="inlineStr">
        <is>
          <t>LJUSNARSBERG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46296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46296</v>
      </c>
      <c r="F184" t="inlineStr">
        <is>
          <t>ÖREBRO LÄN</t>
        </is>
      </c>
      <c r="G184" t="inlineStr">
        <is>
          <t>LJUSNARSBERG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46281</v>
      </c>
      <c r="E185" s="1" t="n">
        <v>46296</v>
      </c>
      <c r="F185" t="inlineStr">
        <is>
          <t>ÖREBRO LÄN</t>
        </is>
      </c>
      <c r="G185" t="inlineStr">
        <is>
          <t>LJUSNARSBERG</t>
        </is>
      </c>
      <c r="H185" t="inlineStr">
        <is>
          <t>Kyrkan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46296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46296</v>
      </c>
      <c r="F187" t="inlineStr">
        <is>
          <t>ÖREBRO LÄN</t>
        </is>
      </c>
      <c r="G187" t="inlineStr">
        <is>
          <t>LJUSNARSBERG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46296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46296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46296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46296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46296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46296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46296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46296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46296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46296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46296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46296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46296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46296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2026-10-01T02:01:13Z</dcterms:created>
  <dcterms:modified xmlns:dcterms="http://purl.org/dc/terms/" xmlns:xsi="http://www.w3.org/2001/XMLSchema-instance" xsi:type="dcterms:W3CDTF">2026-10-01T02:01:14Z</dcterms:modified>
</cp:coreProperties>
</file>