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46311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46311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46311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46311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46311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24299-2026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46311</v>
      </c>
      <c r="F11" t="inlineStr">
        <is>
          <t>ÖREBRO LÄN</t>
        </is>
      </c>
      <c r="G11" t="inlineStr">
        <is>
          <t>LJUSNARSBERG</t>
        </is>
      </c>
      <c r="I11" t="n">
        <v>10.8</v>
      </c>
      <c r="J11" t="n">
        <v>4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5</v>
      </c>
      <c r="V11" s="2" t="inlineStr">
        <is>
          <t>Tornseglare
Talltita
Spillkråka
Tofsmes</t>
        </is>
      </c>
      <c r="W11">
        <f>HYPERLINK("https://klasma.github.io/Logging_1864/artfynd/A 24299-2026 artfynd.xlsx", "A 24299-2026")</f>
        <v/>
      </c>
      <c r="X11">
        <f>HYPERLINK("https://klasma.github.io/Logging_1864/kartor/A 24299-2026 karta.png", "A 24299-2026")</f>
        <v/>
      </c>
      <c r="Y11">
        <f>HYPERLINK("https://klasma.github.io/Logging_1864/kartor_geotiff/A 24299-2026 georefererad karta.tif", "A 24299-2026")</f>
        <v/>
      </c>
      <c r="AA11">
        <f>HYPERLINK("https://klasma.github.io/Logging_1864/klagomål/A 24299-2026 FSC-klagomål.docx", "A 24299-2026")</f>
        <v/>
      </c>
      <c r="AB11">
        <f>HYPERLINK("https://klasma.github.io/Logging_1864/klagomålsmail/A 24299-2026 FSC-klagomål mail.docx", "A 24299-2026")</f>
        <v/>
      </c>
      <c r="AC11">
        <f>HYPERLINK("https://klasma.github.io/Logging_1864/tillsyn/A 24299-2026 tillsynsbegäran.docx", "A 24299-2026")</f>
        <v/>
      </c>
      <c r="AD11">
        <f>HYPERLINK("https://klasma.github.io/Logging_1864/tillsynsmail/A 24299-2026 tillsynsbegäran mail.docx", "A 24299-2026")</f>
        <v/>
      </c>
      <c r="AE11">
        <f>HYPERLINK("https://klasma.github.io/Logging_1864/fåglar/A 24299-2026 prioriterade fågelarter.docx", "A 24299-2026")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46311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46311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46311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46311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46311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46311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46311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46311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20797-2022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44701</v>
      </c>
      <c r="E22" s="1" t="n">
        <v>46311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HYPERLINK("https://klasma.github.io/Logging_1864/artfynd/A 20797-2022 artfynd.xlsx", "A 20797-2022")</f>
        <v/>
      </c>
      <c r="X22">
        <f>HYPERLINK("https://klasma.github.io/Logging_1864/kartor/A 20797-2022 karta.png", "A 20797-2022")</f>
        <v/>
      </c>
      <c r="Y22">
        <f>HYPERLINK("https://klasma.github.io/Logging_1864/kartor_geotiff/A 20797-2022 georefererad karta.tif", "A 20797-2022")</f>
        <v/>
      </c>
      <c r="AA22">
        <f>HYPERLINK("https://klasma.github.io/Logging_1864/klagomål/A 20797-2022 FSC-klagomål.docx", "A 20797-2022")</f>
        <v/>
      </c>
      <c r="AB22">
        <f>HYPERLINK("https://klasma.github.io/Logging_1864/klagomålsmail/A 20797-2022 FSC-klagomål mail.docx", "A 20797-2022")</f>
        <v/>
      </c>
      <c r="AC22">
        <f>HYPERLINK("https://klasma.github.io/Logging_1864/tillsyn/A 20797-2022 tillsynsbegäran.docx", "A 20797-2022")</f>
        <v/>
      </c>
      <c r="AD22">
        <f>HYPERLINK("https://klasma.github.io/Logging_1864/tillsynsmail/A 20797-2022 tillsynsbegäran mail.docx", "A 20797-2022")</f>
        <v/>
      </c>
    </row>
    <row r="23" ht="15" customHeight="1">
      <c r="A23" t="inlineStr">
        <is>
          <t>A 18857-2026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46311</v>
      </c>
      <c r="F23" t="inlineStr">
        <is>
          <t>ÖREBRO LÄN</t>
        </is>
      </c>
      <c r="G23" t="inlineStr">
        <is>
          <t>LJUSNARSBERG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Trana</t>
        </is>
      </c>
      <c r="W23">
        <f>HYPERLINK("https://klasma.github.io/Logging_1864/artfynd/A 18857-2026 artfynd.xlsx", "A 18857-2026")</f>
        <v/>
      </c>
      <c r="X23">
        <f>HYPERLINK("https://klasma.github.io/Logging_1864/kartor/A 18857-2026 karta.png", "A 18857-2026")</f>
        <v/>
      </c>
      <c r="Y23">
        <f>HYPERLINK("https://klasma.github.io/Logging_1864/kartor_geotiff/A 18857-2026 georefererad karta.tif", "A 18857-2026")</f>
        <v/>
      </c>
      <c r="AA23">
        <f>HYPERLINK("https://klasma.github.io/Logging_1864/klagomål/A 18857-2026 FSC-klagomål.docx", "A 18857-2026")</f>
        <v/>
      </c>
      <c r="AB23">
        <f>HYPERLINK("https://klasma.github.io/Logging_1864/klagomålsmail/A 18857-2026 FSC-klagomål mail.docx", "A 18857-2026")</f>
        <v/>
      </c>
      <c r="AC23">
        <f>HYPERLINK("https://klasma.github.io/Logging_1864/tillsyn/A 18857-2026 tillsynsbegäran.docx", "A 18857-2026")</f>
        <v/>
      </c>
      <c r="AD23">
        <f>HYPERLINK("https://klasma.github.io/Logging_1864/tillsynsmail/A 18857-2026 tillsynsbegäran mail.docx", "A 18857-2026")</f>
        <v/>
      </c>
      <c r="AE23">
        <f>HYPERLINK("https://klasma.github.io/Logging_1864/fåglar/A 18857-2026 prioriterade fågelarter.docx", "A 18857-2026")</f>
        <v/>
      </c>
    </row>
    <row r="24" ht="15" customHeight="1">
      <c r="A24" t="inlineStr">
        <is>
          <t>A 39095-2022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44817</v>
      </c>
      <c r="E24" s="1" t="n">
        <v>46311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HYPERLINK("https://klasma.github.io/Logging_1864/artfynd/A 39095-2022 artfynd.xlsx", "A 39095-2022")</f>
        <v/>
      </c>
      <c r="X24">
        <f>HYPERLINK("https://klasma.github.io/Logging_1864/kartor/A 39095-2022 karta.png", "A 39095-2022")</f>
        <v/>
      </c>
      <c r="Y24">
        <f>HYPERLINK("https://klasma.github.io/Logging_1864/kartor_geotiff/A 39095-2022 georefererad karta.tif", "A 39095-2022")</f>
        <v/>
      </c>
      <c r="AA24">
        <f>HYPERLINK("https://klasma.github.io/Logging_1864/klagomål/A 39095-2022 FSC-klagomål.docx", "A 39095-2022")</f>
        <v/>
      </c>
      <c r="AB24">
        <f>HYPERLINK("https://klasma.github.io/Logging_1864/klagomålsmail/A 39095-2022 FSC-klagomål mail.docx", "A 39095-2022")</f>
        <v/>
      </c>
      <c r="AC24">
        <f>HYPERLINK("https://klasma.github.io/Logging_1864/tillsyn/A 39095-2022 tillsynsbegäran.docx", "A 39095-2022")</f>
        <v/>
      </c>
      <c r="AD24">
        <f>HYPERLINK("https://klasma.github.io/Logging_1864/tillsynsmail/A 39095-2022 tillsynsbegäran mail.docx", "A 39095-2022")</f>
        <v/>
      </c>
    </row>
    <row r="25" ht="15" customHeight="1">
      <c r="A25" t="inlineStr">
        <is>
          <t>A 24348-2026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46311</v>
      </c>
      <c r="F25" t="inlineStr">
        <is>
          <t>ÖREBRO LÄN</t>
        </is>
      </c>
      <c r="G25" t="inlineStr">
        <is>
          <t>LJUSNARSBERG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HYPERLINK("https://klasma.github.io/Logging_1864/artfynd/A 24348-2026 artfynd.xlsx", "A 24348-2026")</f>
        <v/>
      </c>
      <c r="X25">
        <f>HYPERLINK("https://klasma.github.io/Logging_1864/kartor/A 24348-2026 karta.png", "A 24348-2026")</f>
        <v/>
      </c>
      <c r="Y25">
        <f>HYPERLINK("https://klasma.github.io/Logging_1864/kartor_geotiff/A 24348-2026 georefererad karta.tif", "A 24348-2026")</f>
        <v/>
      </c>
      <c r="AA25">
        <f>HYPERLINK("https://klasma.github.io/Logging_1864/klagomål/A 24348-2026 FSC-klagomål.docx", "A 24348-2026")</f>
        <v/>
      </c>
      <c r="AB25">
        <f>HYPERLINK("https://klasma.github.io/Logging_1864/klagomålsmail/A 24348-2026 FSC-klagomål mail.docx", "A 24348-2026")</f>
        <v/>
      </c>
      <c r="AC25">
        <f>HYPERLINK("https://klasma.github.io/Logging_1864/tillsyn/A 24348-2026 tillsynsbegäran.docx", "A 24348-2026")</f>
        <v/>
      </c>
      <c r="AD25">
        <f>HYPERLINK("https://klasma.github.io/Logging_1864/tillsynsmail/A 24348-2026 tillsynsbegäran mail.docx", "A 24348-2026")</f>
        <v/>
      </c>
      <c r="AE25">
        <f>HYPERLINK("https://klasma.github.io/Logging_1864/fåglar/A 24348-2026 prioriterade fågelarter.docx", "A 24348-2026")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46311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46311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56859-2025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46311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Större vattensalamander</t>
        </is>
      </c>
      <c r="W28">
        <f>HYPERLINK("https://klasma.github.io/Logging_1864/artfynd/A 56859-2025 artfynd.xlsx", "A 56859-2025")</f>
        <v/>
      </c>
      <c r="X28">
        <f>HYPERLINK("https://klasma.github.io/Logging_1864/kartor/A 56859-2025 karta.png", "A 56859-2025")</f>
        <v/>
      </c>
      <c r="Y28">
        <f>HYPERLINK("https://klasma.github.io/Logging_1864/kartor_geotiff/A 56859-2025 georefererad karta.tif", "A 56859-2025")</f>
        <v/>
      </c>
      <c r="AA28">
        <f>HYPERLINK("https://klasma.github.io/Logging_1864/klagomål/A 56859-2025 FSC-klagomål.docx", "A 56859-2025")</f>
        <v/>
      </c>
      <c r="AB28">
        <f>HYPERLINK("https://klasma.github.io/Logging_1864/klagomålsmail/A 56859-2025 FSC-klagomål mail.docx", "A 56859-2025")</f>
        <v/>
      </c>
      <c r="AC28">
        <f>HYPERLINK("https://klasma.github.io/Logging_1864/tillsyn/A 56859-2025 tillsynsbegäran.docx", "A 56859-2025")</f>
        <v/>
      </c>
      <c r="AD28">
        <f>HYPERLINK("https://klasma.github.io/Logging_1864/tillsynsmail/A 56859-2025 tillsynsbegäran mail.docx", "A 56859-2025")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46311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46311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46311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46311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46311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46311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46311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46311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46311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46311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46311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46311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46311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46311</v>
      </c>
      <c r="F42" t="inlineStr">
        <is>
          <t>ÖREBRO LÄN</t>
        </is>
      </c>
      <c r="G42" t="inlineStr">
        <is>
          <t>LJUSNARSBERG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26469-2025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46311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20673-2025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45776</v>
      </c>
      <c r="E44" s="1" t="n">
        <v>46311</v>
      </c>
      <c r="F44" t="inlineStr">
        <is>
          <t>ÖREBRO LÄN</t>
        </is>
      </c>
      <c r="G44" t="inlineStr">
        <is>
          <t>LJUSNARSBERG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46311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46311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48353-2022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46311</v>
      </c>
      <c r="F47" t="inlineStr">
        <is>
          <t>ÖREBRO LÄN</t>
        </is>
      </c>
      <c r="G47" t="inlineStr">
        <is>
          <t>LJUSNARSBERG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13803-2024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46311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17.8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45764</v>
      </c>
      <c r="E49" s="1" t="n">
        <v>46311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45826</v>
      </c>
      <c r="E50" s="1" t="n">
        <v>46311</v>
      </c>
      <c r="F50" t="inlineStr">
        <is>
          <t>ÖREBRO LÄN</t>
        </is>
      </c>
      <c r="G50" t="inlineStr">
        <is>
          <t>LJUSNARSBERG</t>
        </is>
      </c>
      <c r="H50" t="inlineStr">
        <is>
          <t>Sveaskog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29572-2025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46311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44917</v>
      </c>
      <c r="E52" s="1" t="n">
        <v>46311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46311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46311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46311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46311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46311</v>
      </c>
      <c r="F57" t="inlineStr">
        <is>
          <t>ÖREBRO LÄN</t>
        </is>
      </c>
      <c r="G57" t="inlineStr">
        <is>
          <t>LJUSNARSBERG</t>
        </is>
      </c>
      <c r="H57" t="inlineStr">
        <is>
          <t>Kyrkan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46311</v>
      </c>
      <c r="F58" t="inlineStr">
        <is>
          <t>ÖREBRO LÄN</t>
        </is>
      </c>
      <c r="G58" t="inlineStr">
        <is>
          <t>LJUSNARSBERG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14500-2024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46311</v>
      </c>
      <c r="F59" t="inlineStr">
        <is>
          <t>ÖREBRO LÄN</t>
        </is>
      </c>
      <c r="G59" t="inlineStr">
        <is>
          <t>LJUSNARSBERG</t>
        </is>
      </c>
      <c r="I59" t="n">
        <v>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46311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46311</v>
      </c>
      <c r="F61" t="inlineStr">
        <is>
          <t>ÖREBRO LÄN</t>
        </is>
      </c>
      <c r="G61" t="inlineStr">
        <is>
          <t>LJUSNARSBERG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46311</v>
      </c>
      <c r="F62" t="inlineStr">
        <is>
          <t>ÖREBRO LÄN</t>
        </is>
      </c>
      <c r="G62" t="inlineStr">
        <is>
          <t>LJUSNARSBERG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46311</v>
      </c>
      <c r="F63" t="inlineStr">
        <is>
          <t>ÖREBRO LÄN</t>
        </is>
      </c>
      <c r="G63" t="inlineStr">
        <is>
          <t>LJUSNARSBERG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46311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45124</v>
      </c>
      <c r="E65" s="1" t="n">
        <v>46311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46311</v>
      </c>
      <c r="F66" t="inlineStr">
        <is>
          <t>ÖREBRO LÄN</t>
        </is>
      </c>
      <c r="G66" t="inlineStr">
        <is>
          <t>LJUSNARSBERG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46311</v>
      </c>
      <c r="F67" t="inlineStr">
        <is>
          <t>ÖREBRO LÄN</t>
        </is>
      </c>
      <c r="G67" t="inlineStr">
        <is>
          <t>LJUSNARSBERG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46311</v>
      </c>
      <c r="F68" t="inlineStr">
        <is>
          <t>ÖREBRO LÄN</t>
        </is>
      </c>
      <c r="G68" t="inlineStr">
        <is>
          <t>LJUSNARSBERG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53789-2022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46311</v>
      </c>
      <c r="F69" t="inlineStr">
        <is>
          <t>ÖREBRO LÄN</t>
        </is>
      </c>
      <c r="G69" t="inlineStr">
        <is>
          <t>LJUSNARSBERG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46311</v>
      </c>
      <c r="F70" t="inlineStr">
        <is>
          <t>ÖREBRO LÄN</t>
        </is>
      </c>
      <c r="G70" t="inlineStr">
        <is>
          <t>LJUSNARSBERG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59497-2024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45638</v>
      </c>
      <c r="E71" s="1" t="n">
        <v>46311</v>
      </c>
      <c r="F71" t="inlineStr">
        <is>
          <t>ÖREBRO LÄN</t>
        </is>
      </c>
      <c r="G71" t="inlineStr">
        <is>
          <t>LJUSNARSBERG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46311</v>
      </c>
      <c r="F72" t="inlineStr">
        <is>
          <t>ÖREBRO LÄN</t>
        </is>
      </c>
      <c r="G72" t="inlineStr">
        <is>
          <t>LJUSNARSBERG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46311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22887-2024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45448</v>
      </c>
      <c r="E74" s="1" t="n">
        <v>46311</v>
      </c>
      <c r="F74" t="inlineStr">
        <is>
          <t>ÖREBRO LÄN</t>
        </is>
      </c>
      <c r="G74" t="inlineStr">
        <is>
          <t>LJUSNARSBERG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46082-2024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45581</v>
      </c>
      <c r="E75" s="1" t="n">
        <v>46311</v>
      </c>
      <c r="F75" t="inlineStr">
        <is>
          <t>ÖREBRO LÄN</t>
        </is>
      </c>
      <c r="G75" t="inlineStr">
        <is>
          <t>LJUSNARSBERG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46311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46311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46311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46311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46311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8.199999999999999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40933-2025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46311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46311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44999</v>
      </c>
      <c r="E83" s="1" t="n">
        <v>46311</v>
      </c>
      <c r="F83" t="inlineStr">
        <is>
          <t>ÖREBRO LÄN</t>
        </is>
      </c>
      <c r="G83" t="inlineStr">
        <is>
          <t>LJUSNARSBERG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45155</v>
      </c>
      <c r="E84" s="1" t="n">
        <v>46311</v>
      </c>
      <c r="F84" t="inlineStr">
        <is>
          <t>ÖREBRO LÄN</t>
        </is>
      </c>
      <c r="G84" t="inlineStr">
        <is>
          <t>LJUSNARSBERG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46311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46311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45578</v>
      </c>
      <c r="E87" s="1" t="n">
        <v>46311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46311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46311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45463</v>
      </c>
      <c r="E90" s="1" t="n">
        <v>46311</v>
      </c>
      <c r="F90" t="inlineStr">
        <is>
          <t>ÖREBRO LÄN</t>
        </is>
      </c>
      <c r="G90" t="inlineStr">
        <is>
          <t>LJUSNARSBERG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46311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44939</v>
      </c>
      <c r="E92" s="1" t="n">
        <v>46311</v>
      </c>
      <c r="F92" t="inlineStr">
        <is>
          <t>ÖREBRO LÄN</t>
        </is>
      </c>
      <c r="G92" t="inlineStr">
        <is>
          <t>LJUSNARSBERG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46133</v>
      </c>
      <c r="E93" s="1" t="n">
        <v>46311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46311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45217</v>
      </c>
      <c r="E95" s="1" t="n">
        <v>46311</v>
      </c>
      <c r="F95" t="inlineStr">
        <is>
          <t>ÖREBRO LÄN</t>
        </is>
      </c>
      <c r="G95" t="inlineStr">
        <is>
          <t>LJUSNARSBERG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44903</v>
      </c>
      <c r="E96" s="1" t="n">
        <v>46311</v>
      </c>
      <c r="F96" t="inlineStr">
        <is>
          <t>ÖREBRO LÄN</t>
        </is>
      </c>
      <c r="G96" t="inlineStr">
        <is>
          <t>LJUSNARSBERG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46311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25574-2023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45089</v>
      </c>
      <c r="E98" s="1" t="n">
        <v>46311</v>
      </c>
      <c r="F98" t="inlineStr">
        <is>
          <t>ÖREBRO LÄN</t>
        </is>
      </c>
      <c r="G98" t="inlineStr">
        <is>
          <t>LJUSNARSBERG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45649</v>
      </c>
      <c r="E99" s="1" t="n">
        <v>46311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46311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46311</v>
      </c>
      <c r="F101" t="inlineStr">
        <is>
          <t>ÖREBRO LÄN</t>
        </is>
      </c>
      <c r="G101" t="inlineStr">
        <is>
          <t>LJUSNARSBERG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44690</v>
      </c>
      <c r="E102" s="1" t="n">
        <v>46311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52366-2024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46311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27343-2025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46311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46311</v>
      </c>
      <c r="F105" t="inlineStr">
        <is>
          <t>ÖREBRO LÄN</t>
        </is>
      </c>
      <c r="G105" t="inlineStr">
        <is>
          <t>LJUSNARSBERG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44694</v>
      </c>
      <c r="E106" s="1" t="n">
        <v>46311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33976-2023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45124</v>
      </c>
      <c r="E107" s="1" t="n">
        <v>46311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36108-2024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45533</v>
      </c>
      <c r="E108" s="1" t="n">
        <v>46311</v>
      </c>
      <c r="F108" t="inlineStr">
        <is>
          <t>ÖREBRO LÄN</t>
        </is>
      </c>
      <c r="G108" t="inlineStr">
        <is>
          <t>LJUSNARSBERG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44739</v>
      </c>
      <c r="E109" s="1" t="n">
        <v>46311</v>
      </c>
      <c r="F109" t="inlineStr">
        <is>
          <t>ÖREBRO LÄN</t>
        </is>
      </c>
      <c r="G109" t="inlineStr">
        <is>
          <t>LJUSNARSBERG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46311</v>
      </c>
      <c r="F110" t="inlineStr">
        <is>
          <t>ÖREBRO LÄN</t>
        </is>
      </c>
      <c r="G110" t="inlineStr">
        <is>
          <t>LJUSNARSBERG</t>
        </is>
      </c>
      <c r="I110" t="n">
        <v>17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43638-2025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46311</v>
      </c>
      <c r="F111" t="inlineStr">
        <is>
          <t>ÖREBRO LÄN</t>
        </is>
      </c>
      <c r="G111" t="inlineStr">
        <is>
          <t>LJUSNARSBERG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45769</v>
      </c>
      <c r="E112" s="1" t="n">
        <v>46311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46311</v>
      </c>
      <c r="F113" t="inlineStr">
        <is>
          <t>ÖREBRO LÄN</t>
        </is>
      </c>
      <c r="G113" t="inlineStr">
        <is>
          <t>LJUSNARSBERG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44720</v>
      </c>
      <c r="E114" s="1" t="n">
        <v>46311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46311</v>
      </c>
      <c r="F115" t="inlineStr">
        <is>
          <t>ÖREBRO LÄN</t>
        </is>
      </c>
      <c r="G115" t="inlineStr">
        <is>
          <t>LJUSNARSBERG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44720</v>
      </c>
      <c r="E116" s="1" t="n">
        <v>46311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44734</v>
      </c>
      <c r="E117" s="1" t="n">
        <v>46311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46311</v>
      </c>
      <c r="F118" t="inlineStr">
        <is>
          <t>ÖREBRO LÄN</t>
        </is>
      </c>
      <c r="G118" t="inlineStr">
        <is>
          <t>LJUSNARSBERG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46146</v>
      </c>
      <c r="E119" s="1" t="n">
        <v>46311</v>
      </c>
      <c r="F119" t="inlineStr">
        <is>
          <t>ÖREBRO LÄN</t>
        </is>
      </c>
      <c r="G119" t="inlineStr">
        <is>
          <t>LJUSNARSBERG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45239</v>
      </c>
      <c r="E120" s="1" t="n">
        <v>46311</v>
      </c>
      <c r="F120" t="inlineStr">
        <is>
          <t>ÖREBRO LÄN</t>
        </is>
      </c>
      <c r="G120" t="inlineStr">
        <is>
          <t>LJUSNARSBERG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44790</v>
      </c>
      <c r="E121" s="1" t="n">
        <v>46311</v>
      </c>
      <c r="F121" t="inlineStr">
        <is>
          <t>ÖREBRO LÄN</t>
        </is>
      </c>
      <c r="G121" t="inlineStr">
        <is>
          <t>LJUSNARSBERG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45155</v>
      </c>
      <c r="E122" s="1" t="n">
        <v>46311</v>
      </c>
      <c r="F122" t="inlineStr">
        <is>
          <t>ÖREBRO LÄN</t>
        </is>
      </c>
      <c r="G122" t="inlineStr">
        <is>
          <t>LJUSNARSBERG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46311</v>
      </c>
      <c r="F123" t="inlineStr">
        <is>
          <t>ÖREBRO LÄN</t>
        </is>
      </c>
      <c r="G123" t="inlineStr">
        <is>
          <t>LJUSNARSBERG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46311</v>
      </c>
      <c r="F124" t="inlineStr">
        <is>
          <t>ÖREBRO LÄN</t>
        </is>
      </c>
      <c r="G124" t="inlineStr">
        <is>
          <t>LJUSNARSBERG</t>
        </is>
      </c>
      <c r="I124" t="n">
        <v>14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46311</v>
      </c>
      <c r="F125" t="inlineStr">
        <is>
          <t>ÖREBRO LÄN</t>
        </is>
      </c>
      <c r="G125" t="inlineStr">
        <is>
          <t>LJUSNARSBERG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46311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45614</v>
      </c>
      <c r="E127" s="1" t="n">
        <v>46311</v>
      </c>
      <c r="F127" t="inlineStr">
        <is>
          <t>ÖREBRO LÄN</t>
        </is>
      </c>
      <c r="G127" t="inlineStr">
        <is>
          <t>LJUSNARSBERG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46311</v>
      </c>
      <c r="F128" t="inlineStr">
        <is>
          <t>ÖREBRO LÄN</t>
        </is>
      </c>
      <c r="G128" t="inlineStr">
        <is>
          <t>LJUSNARSBERG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45399</v>
      </c>
      <c r="E129" s="1" t="n">
        <v>46311</v>
      </c>
      <c r="F129" t="inlineStr">
        <is>
          <t>ÖREBRO LÄN</t>
        </is>
      </c>
      <c r="G129" t="inlineStr">
        <is>
          <t>LJUSNARSBERG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46163</v>
      </c>
      <c r="E130" s="1" t="n">
        <v>46311</v>
      </c>
      <c r="F130" t="inlineStr">
        <is>
          <t>ÖREBRO LÄN</t>
        </is>
      </c>
      <c r="G130" t="inlineStr">
        <is>
          <t>LJUSNARSBERG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46311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46311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44607</v>
      </c>
      <c r="E133" s="1" t="n">
        <v>46311</v>
      </c>
      <c r="F133" t="inlineStr">
        <is>
          <t>ÖREBRO LÄN</t>
        </is>
      </c>
      <c r="G133" t="inlineStr">
        <is>
          <t>LJUSNARSBERG</t>
        </is>
      </c>
      <c r="H133" t="inlineStr">
        <is>
          <t>Kyrkan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46167</v>
      </c>
      <c r="E134" s="1" t="n">
        <v>46311</v>
      </c>
      <c r="F134" t="inlineStr">
        <is>
          <t>ÖREBRO LÄN</t>
        </is>
      </c>
      <c r="G134" t="inlineStr">
        <is>
          <t>LJUSNARSBERG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46167</v>
      </c>
      <c r="E135" s="1" t="n">
        <v>46311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62843-2021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46311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45177</v>
      </c>
      <c r="E137" s="1" t="n">
        <v>46311</v>
      </c>
      <c r="F137" t="inlineStr">
        <is>
          <t>ÖREBRO LÄN</t>
        </is>
      </c>
      <c r="G137" t="inlineStr">
        <is>
          <t>LJUSNARSBERG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46311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46311</v>
      </c>
      <c r="F139" t="inlineStr">
        <is>
          <t>ÖREBRO LÄN</t>
        </is>
      </c>
      <c r="G139" t="inlineStr">
        <is>
          <t>LJUSNARSBERG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46311</v>
      </c>
      <c r="F140" t="inlineStr">
        <is>
          <t>ÖREBRO LÄN</t>
        </is>
      </c>
      <c r="G140" t="inlineStr">
        <is>
          <t>LJUSNARSBERG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45934</v>
      </c>
      <c r="E141" s="1" t="n">
        <v>46311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45934</v>
      </c>
      <c r="E142" s="1" t="n">
        <v>46311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45934</v>
      </c>
      <c r="E143" s="1" t="n">
        <v>46311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46311</v>
      </c>
      <c r="F144" t="inlineStr">
        <is>
          <t>ÖREBRO LÄN</t>
        </is>
      </c>
      <c r="G144" t="inlineStr">
        <is>
          <t>LJUSNARSBERG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46311</v>
      </c>
      <c r="F145" t="inlineStr">
        <is>
          <t>ÖREBRO LÄN</t>
        </is>
      </c>
      <c r="G145" t="inlineStr">
        <is>
          <t>LJUSNARSBERG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45934</v>
      </c>
      <c r="E146" s="1" t="n">
        <v>46311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46311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46185</v>
      </c>
      <c r="E148" s="1" t="n">
        <v>46311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46311</v>
      </c>
      <c r="F149" t="inlineStr">
        <is>
          <t>ÖREBRO LÄN</t>
        </is>
      </c>
      <c r="G149" t="inlineStr">
        <is>
          <t>LJUSNARSBERG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50865-2025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45946</v>
      </c>
      <c r="E150" s="1" t="n">
        <v>46311</v>
      </c>
      <c r="F150" t="inlineStr">
        <is>
          <t>ÖREBRO LÄN</t>
        </is>
      </c>
      <c r="G150" t="inlineStr">
        <is>
          <t>LJUSNARSBERG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46311</v>
      </c>
      <c r="F151" t="inlineStr">
        <is>
          <t>ÖREBRO LÄN</t>
        </is>
      </c>
      <c r="G151" t="inlineStr">
        <is>
          <t>LJUSNARSBERG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44916</v>
      </c>
      <c r="E152" s="1" t="n">
        <v>46311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46311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46311</v>
      </c>
      <c r="F154" t="inlineStr">
        <is>
          <t>ÖREBRO LÄN</t>
        </is>
      </c>
      <c r="G154" t="inlineStr">
        <is>
          <t>LJUSNARSBERG</t>
        </is>
      </c>
      <c r="I154" t="n">
        <v>10.8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46311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46311</v>
      </c>
      <c r="F156" t="inlineStr">
        <is>
          <t>ÖREBRO LÄN</t>
        </is>
      </c>
      <c r="G156" t="inlineStr">
        <is>
          <t>LJUSNARSBERG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46311</v>
      </c>
      <c r="F157" t="inlineStr">
        <is>
          <t>ÖREBRO LÄN</t>
        </is>
      </c>
      <c r="G157" t="inlineStr">
        <is>
          <t>LJUSNARSBERG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46311</v>
      </c>
      <c r="F158" t="inlineStr">
        <is>
          <t>ÖREBRO LÄN</t>
        </is>
      </c>
      <c r="G158" t="inlineStr">
        <is>
          <t>LJUSNARSBERG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46311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46311</v>
      </c>
      <c r="F160" t="inlineStr">
        <is>
          <t>ÖREBRO LÄN</t>
        </is>
      </c>
      <c r="G160" t="inlineStr">
        <is>
          <t>LJUSNARSBERG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37866-2026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46279</v>
      </c>
      <c r="E161" s="1" t="n">
        <v>46311</v>
      </c>
      <c r="F161" t="inlineStr">
        <is>
          <t>ÖREBRO LÄN</t>
        </is>
      </c>
      <c r="G161" t="inlineStr">
        <is>
          <t>LJUSNARSBERG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46282</v>
      </c>
      <c r="E162" s="1" t="n">
        <v>46311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45106</v>
      </c>
      <c r="E163" s="1" t="n">
        <v>46311</v>
      </c>
      <c r="F163" t="inlineStr">
        <is>
          <t>ÖREBRO LÄN</t>
        </is>
      </c>
      <c r="G163" t="inlineStr">
        <is>
          <t>LJUSNARSBERG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38269-2026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46281</v>
      </c>
      <c r="E164" s="1" t="n">
        <v>46311</v>
      </c>
      <c r="F164" t="inlineStr">
        <is>
          <t>ÖREBRO LÄN</t>
        </is>
      </c>
      <c r="G164" t="inlineStr">
        <is>
          <t>LJUSNARSBERG</t>
        </is>
      </c>
      <c r="H164" t="inlineStr">
        <is>
          <t>Kyrkan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46311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44690</v>
      </c>
      <c r="E166" s="1" t="n">
        <v>46311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46311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46311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59495-2024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45638</v>
      </c>
      <c r="E169" s="1" t="n">
        <v>46311</v>
      </c>
      <c r="F169" t="inlineStr">
        <is>
          <t>ÖREBRO LÄN</t>
        </is>
      </c>
      <c r="G169" t="inlineStr">
        <is>
          <t>LJUSNARSBERG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44503</v>
      </c>
      <c r="E170" s="1" t="n">
        <v>46311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46311</v>
      </c>
      <c r="F171" t="inlineStr">
        <is>
          <t>ÖREBRO LÄN</t>
        </is>
      </c>
      <c r="G171" t="inlineStr">
        <is>
          <t>LJUSNARSBERG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46247</v>
      </c>
      <c r="E172" s="1" t="n">
        <v>46311</v>
      </c>
      <c r="F172" t="inlineStr">
        <is>
          <t>ÖREBRO LÄN</t>
        </is>
      </c>
      <c r="G172" t="inlineStr">
        <is>
          <t>LJUSNARSBERG</t>
        </is>
      </c>
      <c r="H172" t="inlineStr">
        <is>
          <t>Kyrkan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46290</v>
      </c>
      <c r="E173" s="1" t="n">
        <v>46311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46311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46294</v>
      </c>
      <c r="E175" s="1" t="n">
        <v>46311</v>
      </c>
      <c r="F175" t="inlineStr">
        <is>
          <t>ÖREBRO LÄN</t>
        </is>
      </c>
      <c r="G175" t="inlineStr">
        <is>
          <t>LJUSNARSBERG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46311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46311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46251</v>
      </c>
      <c r="E178" s="1" t="n">
        <v>46311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46311</v>
      </c>
      <c r="F179" t="inlineStr">
        <is>
          <t>ÖREBRO LÄN</t>
        </is>
      </c>
      <c r="G179" t="inlineStr">
        <is>
          <t>LJUSNARSBERG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45698</v>
      </c>
      <c r="E180" s="1" t="n">
        <v>46311</v>
      </c>
      <c r="F180" t="inlineStr">
        <is>
          <t>ÖREBRO LÄN</t>
        </is>
      </c>
      <c r="G180" t="inlineStr">
        <is>
          <t>LJUSNARSBERG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45593</v>
      </c>
      <c r="E181" s="1" t="n">
        <v>46311</v>
      </c>
      <c r="F181" t="inlineStr">
        <is>
          <t>ÖREBRO LÄN</t>
        </is>
      </c>
      <c r="G181" t="inlineStr">
        <is>
          <t>LJUSNARSBERG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46311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46311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46311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46311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46301</v>
      </c>
      <c r="E186" s="1" t="n">
        <v>46311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46300</v>
      </c>
      <c r="E187" s="1" t="n">
        <v>46311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46300</v>
      </c>
      <c r="E188" s="1" t="n">
        <v>46311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41458-2026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46300</v>
      </c>
      <c r="E189" s="1" t="n">
        <v>46311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46311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46300</v>
      </c>
      <c r="E191" s="1" t="n">
        <v>46311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46311</v>
      </c>
      <c r="F192" t="inlineStr">
        <is>
          <t>ÖREBRO LÄN</t>
        </is>
      </c>
      <c r="G192" t="inlineStr">
        <is>
          <t>LJUSNARSBERG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46311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46311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46311</v>
      </c>
      <c r="F195" t="inlineStr">
        <is>
          <t>ÖREBRO LÄN</t>
        </is>
      </c>
      <c r="G195" t="inlineStr">
        <is>
          <t>LJUSNARSBERG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46307</v>
      </c>
      <c r="E196" s="1" t="n">
        <v>46311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3541-2022</t>
        </is>
      </c>
      <c r="B197" t="inlineStr">
        <is>
          <t>samrådsanmälan</t>
        </is>
      </c>
      <c r="C197" t="inlineStr">
        <is>
          <t>Skogsbilväg</t>
        </is>
      </c>
      <c r="D197" s="1" t="n">
        <v>44734</v>
      </c>
      <c r="E197" s="1" t="n">
        <v>46311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10473-2021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44559</v>
      </c>
      <c r="E198" s="1" t="n">
        <v>46311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410-2022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44585</v>
      </c>
      <c r="E199" s="1" t="n">
        <v>46311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1099-2022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44615</v>
      </c>
      <c r="E200" s="1" t="n">
        <v>46311</v>
      </c>
      <c r="F200" t="inlineStr">
        <is>
          <t>ÖREBRO LÄN</t>
        </is>
      </c>
      <c r="G200" t="inlineStr">
        <is>
          <t>LJUSNARSBERG</t>
        </is>
      </c>
      <c r="H200" t="inlineStr">
        <is>
          <t>Sveaskog</t>
        </is>
      </c>
      <c r="I200" t="n">
        <v>147.4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880-2024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45376</v>
      </c>
      <c r="E201" s="1" t="n">
        <v>46311</v>
      </c>
      <c r="F201" t="inlineStr">
        <is>
          <t>ÖREBRO LÄN</t>
        </is>
      </c>
      <c r="G201" t="inlineStr">
        <is>
          <t>LJUSNARSBERG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3528-2023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45205</v>
      </c>
      <c r="E202" s="1" t="n">
        <v>46311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4521-2023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45275</v>
      </c>
      <c r="E203" s="1" t="n">
        <v>46311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46311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46311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46311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46311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46311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46311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46311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2322-2026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46269</v>
      </c>
      <c r="E211" s="1" t="n">
        <v>46311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67.09999999999999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2026-10-16T02:18:17Z</dcterms:created>
  <dcterms:modified xmlns:dcterms="http://purl.org/dc/terms/" xmlns:xsi="http://www.w3.org/2001/XMLSchema-instance" xsi:type="dcterms:W3CDTF">2026-10-16T02:18:18Z</dcterms:modified>
</cp:coreProperties>
</file>