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46252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46252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46252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46252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46252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46252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46127</v>
      </c>
      <c r="E11" s="1" t="n">
        <v>46252</v>
      </c>
      <c r="F11" t="inlineStr">
        <is>
          <t>ÖREBRO LÄN</t>
        </is>
      </c>
      <c r="G11" t="inlineStr">
        <is>
          <t>LJUSNARSBERG</t>
        </is>
      </c>
      <c r="I11" t="n">
        <v>9.5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Entita
Bronshjon
Spillkråka
Grönsiska
Kungsfågel</t>
        </is>
      </c>
      <c r="W11">
        <f>HYPERLINK("https://klasma.github.io/Logging_1864/artfynd/A 18853-2026 artfynd.xlsx", "A 18853-2026")</f>
        <v/>
      </c>
      <c r="X11">
        <f>HYPERLINK("https://klasma.github.io/Logging_1864/kartor/A 18853-2026 karta.png", "A 18853-2026")</f>
        <v/>
      </c>
      <c r="Y11">
        <f>HYPERLINK("https://klasma.github.io/Logging_1864/kartor_geotiff/A 18853-2026 georefererad karta.tif", "A 18853-2026")</f>
        <v/>
      </c>
      <c r="AA11">
        <f>HYPERLINK("https://klasma.github.io/Logging_1864/klagomål/A 18853-2026 FSC-klagomål.docx", "A 18853-2026")</f>
        <v/>
      </c>
      <c r="AB11">
        <f>HYPERLINK("https://klasma.github.io/Logging_1864/klagomålsmail/A 18853-2026 FSC-klagomål mail.docx", "A 18853-2026")</f>
        <v/>
      </c>
      <c r="AC11">
        <f>HYPERLINK("https://klasma.github.io/Logging_1864/tillsyn/A 18853-2026 tillsynsbegäran.docx", "A 18853-2026")</f>
        <v/>
      </c>
      <c r="AD11">
        <f>HYPERLINK("https://klasma.github.io/Logging_1864/tillsynsmail/A 18853-2026 tillsynsbegäran mail.docx", "A 18853-2026")</f>
        <v/>
      </c>
      <c r="AE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46252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46252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46252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46252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46252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46252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46252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46252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46252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46252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46252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46252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46252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56179-2024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46252</v>
      </c>
      <c r="F27" t="inlineStr">
        <is>
          <t>ÖREBRO LÄN</t>
        </is>
      </c>
      <c r="G27" t="inlineStr">
        <is>
          <t>LJUSNARSBERG</t>
        </is>
      </c>
      <c r="I27" t="n">
        <v>0.9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Vedticka</t>
        </is>
      </c>
      <c r="W27">
        <f>HYPERLINK("https://klasma.github.io/Logging_1864/artfynd/A 56179-2024 artfynd.xlsx", "A 56179-2024")</f>
        <v/>
      </c>
      <c r="X27">
        <f>HYPERLINK("https://klasma.github.io/Logging_1864/kartor/A 56179-2024 karta.png", "A 56179-2024")</f>
        <v/>
      </c>
      <c r="Y27">
        <f>HYPERLINK("https://klasma.github.io/Logging_1864/kartor_geotiff/A 56179-2024 georefererad karta.tif", "A 56179-2024")</f>
        <v/>
      </c>
      <c r="AA27">
        <f>HYPERLINK("https://klasma.github.io/Logging_1864/klagomål/A 56179-2024 FSC-klagomål.docx", "A 56179-2024")</f>
        <v/>
      </c>
      <c r="AB27">
        <f>HYPERLINK("https://klasma.github.io/Logging_1864/klagomålsmail/A 56179-2024 FSC-klagomål mail.docx", "A 56179-2024")</f>
        <v/>
      </c>
      <c r="AC27">
        <f>HYPERLINK("https://klasma.github.io/Logging_1864/tillsyn/A 56179-2024 tillsynsbegäran.docx", "A 56179-2024")</f>
        <v/>
      </c>
      <c r="AD27">
        <f>HYPERLINK("https://klasma.github.io/Logging_1864/tillsynsmail/A 56179-2024 tillsynsbegäran mail.docx", "A 56179-2024")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46252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46252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A 19940-2026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46252</v>
      </c>
      <c r="F30" t="inlineStr">
        <is>
          <t>ÖREBRO LÄN</t>
        </is>
      </c>
      <c r="G30" t="inlineStr">
        <is>
          <t>LJUSNARSBERG</t>
        </is>
      </c>
      <c r="H30" t="inlineStr">
        <is>
          <t>Sveaskog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HYPERLINK("https://klasma.github.io/Logging_1864/artfynd/A 19940-2026 artfynd.xlsx", "A 19940-2026")</f>
        <v/>
      </c>
      <c r="X30">
        <f>HYPERLINK("https://klasma.github.io/Logging_1864/kartor/A 19940-2026 karta.png", "A 19940-2026")</f>
        <v/>
      </c>
      <c r="Y30">
        <f>HYPERLINK("https://klasma.github.io/Logging_1864/kartor_geotiff/A 19940-2026 georefererad karta.tif", "A 19940-2026")</f>
        <v/>
      </c>
      <c r="AA30">
        <f>HYPERLINK("https://klasma.github.io/Logging_1864/klagomål/A 19940-2026 FSC-klagomål.docx", "A 19940-2026")</f>
        <v/>
      </c>
      <c r="AB30">
        <f>HYPERLINK("https://klasma.github.io/Logging_1864/klagomålsmail/A 19940-2026 FSC-klagomål mail.docx", "A 19940-2026")</f>
        <v/>
      </c>
      <c r="AC30">
        <f>HYPERLINK("https://klasma.github.io/Logging_1864/tillsyn/A 19940-2026 tillsynsbegäran.docx", "A 19940-2026")</f>
        <v/>
      </c>
      <c r="AD30">
        <f>HYPERLINK("https://klasma.github.io/Logging_1864/tillsynsmail/A 19940-2026 tillsynsbegäran mail.docx", "A 19940-2026")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46252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46252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46252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46252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46252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46252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46252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46252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46252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44293-2021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46252</v>
      </c>
      <c r="F40" t="inlineStr">
        <is>
          <t>ÖREBRO LÄN</t>
        </is>
      </c>
      <c r="G40" t="inlineStr">
        <is>
          <t>LJUSNARSBERG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44595</v>
      </c>
      <c r="E41" s="1" t="n">
        <v>46252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46252</v>
      </c>
      <c r="F42" t="inlineStr">
        <is>
          <t>ÖREBRO LÄN</t>
        </is>
      </c>
      <c r="G42" t="inlineStr">
        <is>
          <t>LJUSNARSBERG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46252</v>
      </c>
      <c r="F43" t="inlineStr">
        <is>
          <t>ÖREBRO LÄN</t>
        </is>
      </c>
      <c r="G43" t="inlineStr">
        <is>
          <t>LJUSNARSBERG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46252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46252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44282-2021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44435</v>
      </c>
      <c r="E46" s="1" t="n">
        <v>46252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46252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33858-2022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46252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46252</v>
      </c>
      <c r="F49" t="inlineStr">
        <is>
          <t>ÖREBRO LÄN</t>
        </is>
      </c>
      <c r="G49" t="inlineStr">
        <is>
          <t>LJUSNARSBERG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46252</v>
      </c>
      <c r="F50" t="inlineStr">
        <is>
          <t>ÖREBRO LÄN</t>
        </is>
      </c>
      <c r="G50" t="inlineStr">
        <is>
          <t>LJUSNARSBERG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46252</v>
      </c>
      <c r="F51" t="inlineStr">
        <is>
          <t>ÖREBRO LÄN</t>
        </is>
      </c>
      <c r="G51" t="inlineStr">
        <is>
          <t>LJUSNARSBERG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29572-2025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46252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46252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46252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46252</v>
      </c>
      <c r="F55" t="inlineStr">
        <is>
          <t>ÖREBRO LÄN</t>
        </is>
      </c>
      <c r="G55" t="inlineStr">
        <is>
          <t>LJUSNARSBERG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46252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59497-2024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45638</v>
      </c>
      <c r="E57" s="1" t="n">
        <v>46252</v>
      </c>
      <c r="F57" t="inlineStr">
        <is>
          <t>ÖREBRO LÄN</t>
        </is>
      </c>
      <c r="G57" t="inlineStr">
        <is>
          <t>LJUSNARSBERG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46252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40477-2025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45895</v>
      </c>
      <c r="E59" s="1" t="n">
        <v>46252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11.9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46252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46252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16.6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46252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46252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45649</v>
      </c>
      <c r="E64" s="1" t="n">
        <v>46252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46252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46252</v>
      </c>
      <c r="F66" t="inlineStr">
        <is>
          <t>ÖREBRO LÄN</t>
        </is>
      </c>
      <c r="G66" t="inlineStr">
        <is>
          <t>LJUSNARSBERG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46252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25574-2023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45089</v>
      </c>
      <c r="E68" s="1" t="n">
        <v>46252</v>
      </c>
      <c r="F68" t="inlineStr">
        <is>
          <t>ÖREBRO LÄN</t>
        </is>
      </c>
      <c r="G68" t="inlineStr">
        <is>
          <t>LJUSNARSBERG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46252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46252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46252</v>
      </c>
      <c r="F71" t="inlineStr">
        <is>
          <t>ÖREBRO LÄN</t>
        </is>
      </c>
      <c r="G71" t="inlineStr">
        <is>
          <t>LJUSNARSBERG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46252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46252</v>
      </c>
      <c r="F73" t="inlineStr">
        <is>
          <t>ÖREBRO LÄN</t>
        </is>
      </c>
      <c r="G73" t="inlineStr">
        <is>
          <t>LJUSNARSBERG</t>
        </is>
      </c>
      <c r="I73" t="n">
        <v>17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46252</v>
      </c>
      <c r="F74" t="inlineStr">
        <is>
          <t>ÖREBRO LÄN</t>
        </is>
      </c>
      <c r="G74" t="inlineStr">
        <is>
          <t>LJUSNARSBERG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46252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59495-2024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45638</v>
      </c>
      <c r="E76" s="1" t="n">
        <v>46252</v>
      </c>
      <c r="F76" t="inlineStr">
        <is>
          <t>ÖREBRO LÄN</t>
        </is>
      </c>
      <c r="G76" t="inlineStr">
        <is>
          <t>LJUSNARSBERG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44479-2025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45916</v>
      </c>
      <c r="E77" s="1" t="n">
        <v>46252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46252</v>
      </c>
      <c r="F78" t="inlineStr">
        <is>
          <t>ÖREBRO LÄN</t>
        </is>
      </c>
      <c r="G78" t="inlineStr">
        <is>
          <t>LJUSNARSBERG</t>
        </is>
      </c>
      <c r="H78" t="inlineStr">
        <is>
          <t>Kyrkan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46263-2021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44442</v>
      </c>
      <c r="E79" s="1" t="n">
        <v>46252</v>
      </c>
      <c r="F79" t="inlineStr">
        <is>
          <t>ÖREBRO LÄN</t>
        </is>
      </c>
      <c r="G79" t="inlineStr">
        <is>
          <t>LJUSNARSBERG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46252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46252</v>
      </c>
      <c r="F81" t="inlineStr">
        <is>
          <t>ÖREBRO LÄN</t>
        </is>
      </c>
      <c r="G81" t="inlineStr">
        <is>
          <t>LJUSNARSBERG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46252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46252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45925</v>
      </c>
      <c r="E84" s="1" t="n">
        <v>46252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46252</v>
      </c>
      <c r="F85" t="inlineStr">
        <is>
          <t>ÖREBRO LÄN</t>
        </is>
      </c>
      <c r="G85" t="inlineStr">
        <is>
          <t>LJUSNARSBERG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46252</v>
      </c>
      <c r="F86" t="inlineStr">
        <is>
          <t>ÖREBRO LÄN</t>
        </is>
      </c>
      <c r="G86" t="inlineStr">
        <is>
          <t>LJUSNARSBERG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46252</v>
      </c>
      <c r="F87" t="inlineStr">
        <is>
          <t>ÖREBRO LÄN</t>
        </is>
      </c>
      <c r="G87" t="inlineStr">
        <is>
          <t>LJUSNARSBERG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44917</v>
      </c>
      <c r="E88" s="1" t="n">
        <v>46252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46252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44503</v>
      </c>
      <c r="E90" s="1" t="n">
        <v>46252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46252</v>
      </c>
      <c r="F91" t="inlineStr">
        <is>
          <t>ÖREBRO LÄN</t>
        </is>
      </c>
      <c r="G91" t="inlineStr">
        <is>
          <t>LJUSNARSBERG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26165-2022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46252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46252</v>
      </c>
      <c r="F93" t="inlineStr">
        <is>
          <t>ÖREBRO LÄN</t>
        </is>
      </c>
      <c r="G93" t="inlineStr">
        <is>
          <t>LJUSNARSBERG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46252</v>
      </c>
      <c r="F94" t="inlineStr">
        <is>
          <t>ÖREBRO LÄN</t>
        </is>
      </c>
      <c r="G94" t="inlineStr">
        <is>
          <t>LJUSNARSBERG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45659</v>
      </c>
      <c r="E95" s="1" t="n">
        <v>46252</v>
      </c>
      <c r="F95" t="inlineStr">
        <is>
          <t>ÖREBRO LÄN</t>
        </is>
      </c>
      <c r="G95" t="inlineStr">
        <is>
          <t>LJUSNARSBERG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46252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46252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46252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46252</v>
      </c>
      <c r="F99" t="inlineStr">
        <is>
          <t>ÖREBRO LÄN</t>
        </is>
      </c>
      <c r="G99" t="inlineStr">
        <is>
          <t>LJUSNARSBERG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46252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46252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46252</v>
      </c>
      <c r="F102" t="inlineStr">
        <is>
          <t>ÖREBRO LÄN</t>
        </is>
      </c>
      <c r="G102" t="inlineStr">
        <is>
          <t>LJUSNARSBERG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46252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46252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46252</v>
      </c>
      <c r="F105" t="inlineStr">
        <is>
          <t>ÖREBRO LÄN</t>
        </is>
      </c>
      <c r="G105" t="inlineStr">
        <is>
          <t>LJUSNARSBERG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46252</v>
      </c>
      <c r="F106" t="inlineStr">
        <is>
          <t>ÖREBRO LÄN</t>
        </is>
      </c>
      <c r="G106" t="inlineStr">
        <is>
          <t>LJUSNARSBERG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46252</v>
      </c>
      <c r="F107" t="inlineStr">
        <is>
          <t>ÖREBRO LÄN</t>
        </is>
      </c>
      <c r="G107" t="inlineStr">
        <is>
          <t>LJUSNARSBERG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67746-2021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46252</v>
      </c>
      <c r="F108" t="inlineStr">
        <is>
          <t>ÖREBRO LÄN</t>
        </is>
      </c>
      <c r="G108" t="inlineStr">
        <is>
          <t>LJUSNARSBERG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46252</v>
      </c>
      <c r="F109" t="inlineStr">
        <is>
          <t>ÖREBRO LÄN</t>
        </is>
      </c>
      <c r="G109" t="inlineStr">
        <is>
          <t>LJUSNARSBERG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44564</v>
      </c>
      <c r="E110" s="1" t="n">
        <v>46252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50865-2025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45946</v>
      </c>
      <c r="E111" s="1" t="n">
        <v>46252</v>
      </c>
      <c r="F111" t="inlineStr">
        <is>
          <t>ÖREBRO LÄN</t>
        </is>
      </c>
      <c r="G111" t="inlineStr">
        <is>
          <t>LJUSNARSBERG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46252</v>
      </c>
      <c r="F112" t="inlineStr">
        <is>
          <t>ÖREBRO LÄN</t>
        </is>
      </c>
      <c r="G112" t="inlineStr">
        <is>
          <t>LJUSNARSBERG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46252</v>
      </c>
      <c r="F113" t="inlineStr">
        <is>
          <t>ÖREBRO LÄN</t>
        </is>
      </c>
      <c r="G113" t="inlineStr">
        <is>
          <t>LJUSNARSBERG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45124</v>
      </c>
      <c r="E114" s="1" t="n">
        <v>46252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46252</v>
      </c>
      <c r="F115" t="inlineStr">
        <is>
          <t>ÖREBRO LÄN</t>
        </is>
      </c>
      <c r="G115" t="inlineStr">
        <is>
          <t>LJUSNARSBERG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46252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44790</v>
      </c>
      <c r="E117" s="1" t="n">
        <v>46252</v>
      </c>
      <c r="F117" t="inlineStr">
        <is>
          <t>ÖREBRO LÄN</t>
        </is>
      </c>
      <c r="G117" t="inlineStr">
        <is>
          <t>LJUSNARSBERG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46252</v>
      </c>
      <c r="F118" t="inlineStr">
        <is>
          <t>ÖREBRO LÄN</t>
        </is>
      </c>
      <c r="G118" t="inlineStr">
        <is>
          <t>LJUSNARSBERG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44760-2024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46252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45463</v>
      </c>
      <c r="E120" s="1" t="n">
        <v>46252</v>
      </c>
      <c r="F120" t="inlineStr">
        <is>
          <t>ÖREBRO LÄN</t>
        </is>
      </c>
      <c r="G120" t="inlineStr">
        <is>
          <t>LJUSNARSBERG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46252</v>
      </c>
      <c r="F121" t="inlineStr">
        <is>
          <t>ÖREBRO LÄN</t>
        </is>
      </c>
      <c r="G121" t="inlineStr">
        <is>
          <t>LJUSNARSBERG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46252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62667-2022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44917</v>
      </c>
      <c r="E123" s="1" t="n">
        <v>46252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46252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22887-2024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45448</v>
      </c>
      <c r="E125" s="1" t="n">
        <v>46252</v>
      </c>
      <c r="F125" t="inlineStr">
        <is>
          <t>ÖREBRO LÄN</t>
        </is>
      </c>
      <c r="G125" t="inlineStr">
        <is>
          <t>LJUSNARSBERG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46252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46252</v>
      </c>
      <c r="F127" t="inlineStr">
        <is>
          <t>ÖREBRO LÄN</t>
        </is>
      </c>
      <c r="G127" t="inlineStr">
        <is>
          <t>LJUSNARSBERG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46252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46252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29721-2023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46252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46252</v>
      </c>
      <c r="F131" t="inlineStr">
        <is>
          <t>ÖREBRO LÄN</t>
        </is>
      </c>
      <c r="G131" t="inlineStr">
        <is>
          <t>LJUSNARSBERG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46252</v>
      </c>
      <c r="F132" t="inlineStr">
        <is>
          <t>ÖREBRO LÄN</t>
        </is>
      </c>
      <c r="G132" t="inlineStr">
        <is>
          <t>LJUSNARSBERG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46252</v>
      </c>
      <c r="F133" t="inlineStr">
        <is>
          <t>ÖREBRO LÄN</t>
        </is>
      </c>
      <c r="G133" t="inlineStr">
        <is>
          <t>LJUSNARSBERG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46252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44720</v>
      </c>
      <c r="E135" s="1" t="n">
        <v>46252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46252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46252</v>
      </c>
      <c r="F137" t="inlineStr">
        <is>
          <t>ÖREBRO LÄN</t>
        </is>
      </c>
      <c r="G137" t="inlineStr">
        <is>
          <t>LJUSNARSBERG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46252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46252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46252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46252</v>
      </c>
      <c r="F141" t="inlineStr">
        <is>
          <t>ÖREBRO LÄN</t>
        </is>
      </c>
      <c r="G141" t="inlineStr">
        <is>
          <t>LJUSNARSBERG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46252</v>
      </c>
      <c r="F142" t="inlineStr">
        <is>
          <t>ÖREBRO LÄN</t>
        </is>
      </c>
      <c r="G142" t="inlineStr">
        <is>
          <t>LJUSNARSBERG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46252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45578</v>
      </c>
      <c r="E144" s="1" t="n">
        <v>46252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46252</v>
      </c>
      <c r="F145" t="inlineStr">
        <is>
          <t>ÖREBRO LÄN</t>
        </is>
      </c>
      <c r="G145" t="inlineStr">
        <is>
          <t>LJUSNARSBERG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46252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45124</v>
      </c>
      <c r="E147" s="1" t="n">
        <v>46252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46252</v>
      </c>
      <c r="F148" t="inlineStr">
        <is>
          <t>ÖREBRO LÄN</t>
        </is>
      </c>
      <c r="G148" t="inlineStr">
        <is>
          <t>LJUSNARSBERG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46252</v>
      </c>
      <c r="F149" t="inlineStr">
        <is>
          <t>ÖREBRO LÄN</t>
        </is>
      </c>
      <c r="G149" t="inlineStr">
        <is>
          <t>LJUSNARSBERG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46252</v>
      </c>
      <c r="F150" t="inlineStr">
        <is>
          <t>ÖREBRO LÄN</t>
        </is>
      </c>
      <c r="G150" t="inlineStr">
        <is>
          <t>LJUSNARSBERG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46252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46185</v>
      </c>
      <c r="E152" s="1" t="n">
        <v>46252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44690</v>
      </c>
      <c r="E153" s="1" t="n">
        <v>46252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44438</v>
      </c>
      <c r="E154" s="1" t="n">
        <v>46252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46252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44916</v>
      </c>
      <c r="E156" s="1" t="n">
        <v>46252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45347</v>
      </c>
      <c r="E157" s="1" t="n">
        <v>46252</v>
      </c>
      <c r="F157" t="inlineStr">
        <is>
          <t>ÖREBRO LÄN</t>
        </is>
      </c>
      <c r="G157" t="inlineStr">
        <is>
          <t>LJUSNARSBERG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45030</v>
      </c>
      <c r="E158" s="1" t="n">
        <v>46252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46133</v>
      </c>
      <c r="E159" s="1" t="n">
        <v>46252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46252</v>
      </c>
      <c r="F160" t="inlineStr">
        <is>
          <t>ÖREBRO LÄN</t>
        </is>
      </c>
      <c r="G160" t="inlineStr">
        <is>
          <t>LJUSNARSBERG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44720</v>
      </c>
      <c r="E161" s="1" t="n">
        <v>46252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44939</v>
      </c>
      <c r="E162" s="1" t="n">
        <v>46252</v>
      </c>
      <c r="F162" t="inlineStr">
        <is>
          <t>ÖREBRO LÄN</t>
        </is>
      </c>
      <c r="G162" t="inlineStr">
        <is>
          <t>LJUSNARSBERG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44468</v>
      </c>
      <c r="E163" s="1" t="n">
        <v>46252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46252</v>
      </c>
      <c r="F164" t="inlineStr">
        <is>
          <t>ÖREBRO LÄN</t>
        </is>
      </c>
      <c r="G164" t="inlineStr">
        <is>
          <t>LJUSNARSBERG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46136</v>
      </c>
      <c r="E165" s="1" t="n">
        <v>46252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45533</v>
      </c>
      <c r="E166" s="1" t="n">
        <v>46252</v>
      </c>
      <c r="F166" t="inlineStr">
        <is>
          <t>ÖREBRO LÄN</t>
        </is>
      </c>
      <c r="G166" t="inlineStr">
        <is>
          <t>LJUSNARSBERG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46252</v>
      </c>
      <c r="F167" t="inlineStr">
        <is>
          <t>ÖREBRO LÄN</t>
        </is>
      </c>
      <c r="G167" t="inlineStr">
        <is>
          <t>LJUSNARSBERG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46252</v>
      </c>
      <c r="F168" t="inlineStr">
        <is>
          <t>ÖREBRO LÄN</t>
        </is>
      </c>
      <c r="G168" t="inlineStr">
        <is>
          <t>LJUSNARSBERG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46246</v>
      </c>
      <c r="E169" s="1" t="n">
        <v>46252</v>
      </c>
      <c r="F169" t="inlineStr">
        <is>
          <t>ÖREBRO LÄN</t>
        </is>
      </c>
      <c r="G169" t="inlineStr">
        <is>
          <t>LJUSNARSBERG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46247</v>
      </c>
      <c r="E170" s="1" t="n">
        <v>46252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46252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46252</v>
      </c>
      <c r="F172" t="inlineStr">
        <is>
          <t>ÖREBRO LÄN</t>
        </is>
      </c>
      <c r="G172" t="inlineStr">
        <is>
          <t>LJUSNARSBERG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46252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46252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46252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45764</v>
      </c>
      <c r="E176" s="1" t="n">
        <v>46252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44694</v>
      </c>
      <c r="E177" s="1" t="n">
        <v>46252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46252</v>
      </c>
      <c r="F178" t="inlineStr">
        <is>
          <t>ÖREBRO LÄN</t>
        </is>
      </c>
      <c r="G178" t="inlineStr">
        <is>
          <t>LJUSNARSBERG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46252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46146</v>
      </c>
      <c r="E180" s="1" t="n">
        <v>46252</v>
      </c>
      <c r="F180" t="inlineStr">
        <is>
          <t>ÖREBRO LÄN</t>
        </is>
      </c>
      <c r="G180" t="inlineStr">
        <is>
          <t>LJUSNARSBERG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46252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46252</v>
      </c>
      <c r="F182" t="inlineStr">
        <is>
          <t>ÖREBRO LÄN</t>
        </is>
      </c>
      <c r="G182" t="inlineStr">
        <is>
          <t>LJUSNARSBERG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46252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46252</v>
      </c>
      <c r="F184" t="inlineStr">
        <is>
          <t>ÖREBRO LÄN</t>
        </is>
      </c>
      <c r="G184" t="inlineStr">
        <is>
          <t>LJUSNARSBERG</t>
        </is>
      </c>
      <c r="I184" t="n">
        <v>14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46252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46252</v>
      </c>
      <c r="F186" t="inlineStr">
        <is>
          <t>ÖREBRO LÄN</t>
        </is>
      </c>
      <c r="G186" t="inlineStr">
        <is>
          <t>LJUSNARSBERG</t>
        </is>
      </c>
      <c r="H186" t="inlineStr">
        <is>
          <t>Kommuner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45614</v>
      </c>
      <c r="E187" s="1" t="n">
        <v>46252</v>
      </c>
      <c r="F187" t="inlineStr">
        <is>
          <t>ÖREBRO LÄN</t>
        </is>
      </c>
      <c r="G187" t="inlineStr">
        <is>
          <t>LJUSNARSBERG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45593</v>
      </c>
      <c r="E188" s="1" t="n">
        <v>46252</v>
      </c>
      <c r="F188" t="inlineStr">
        <is>
          <t>ÖREBRO LÄN</t>
        </is>
      </c>
      <c r="G188" t="inlineStr">
        <is>
          <t>LJUSNARSBERG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46252</v>
      </c>
      <c r="F189" t="inlineStr">
        <is>
          <t>ÖREBRO LÄN</t>
        </is>
      </c>
      <c r="G189" t="inlineStr">
        <is>
          <t>LJUSNARSBERG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46252</v>
      </c>
      <c r="F190" t="inlineStr">
        <is>
          <t>ÖREBRO LÄN</t>
        </is>
      </c>
      <c r="G190" t="inlineStr">
        <is>
          <t>LJUSNARSBERG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46252</v>
      </c>
      <c r="F191" t="inlineStr">
        <is>
          <t>ÖREBRO LÄN</t>
        </is>
      </c>
      <c r="G191" t="inlineStr">
        <is>
          <t>LJUSNARSBERG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46252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45142</v>
      </c>
      <c r="E193" s="1" t="n">
        <v>46252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46167</v>
      </c>
      <c r="E194" s="1" t="n">
        <v>46252</v>
      </c>
      <c r="F194" t="inlineStr">
        <is>
          <t>ÖREBRO LÄN</t>
        </is>
      </c>
      <c r="G194" t="inlineStr">
        <is>
          <t>LJUSNARSBERG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46252</v>
      </c>
      <c r="F195" t="inlineStr">
        <is>
          <t>ÖREBRO LÄN</t>
        </is>
      </c>
      <c r="G195" t="inlineStr">
        <is>
          <t>LJUSNARSBERG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46167</v>
      </c>
      <c r="E196" s="1" t="n">
        <v>46252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46252</v>
      </c>
      <c r="F197" t="inlineStr">
        <is>
          <t>ÖREBRO LÄN</t>
        </is>
      </c>
      <c r="G197" t="inlineStr">
        <is>
          <t>LJUSNARSBERG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46252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46252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46252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20673-2025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45776</v>
      </c>
      <c r="E201" s="1" t="n">
        <v>46252</v>
      </c>
      <c r="F201" t="inlineStr">
        <is>
          <t>ÖREBRO LÄN</t>
        </is>
      </c>
      <c r="G201" t="inlineStr">
        <is>
          <t>LJUSNARSBERG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880-2024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45376</v>
      </c>
      <c r="E202" s="1" t="n">
        <v>46252</v>
      </c>
      <c r="F202" t="inlineStr">
        <is>
          <t>ÖREBRO LÄN</t>
        </is>
      </c>
      <c r="G202" t="inlineStr">
        <is>
          <t>LJUSNARSBERG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3541-2022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44734</v>
      </c>
      <c r="E203" s="1" t="n">
        <v>46252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10473-2021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44559</v>
      </c>
      <c r="E204" s="1" t="n">
        <v>46252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46252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7278-2021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44467</v>
      </c>
      <c r="E206" s="1" t="n">
        <v>46252</v>
      </c>
      <c r="F206" t="inlineStr">
        <is>
          <t>ÖREBRO LÄN</t>
        </is>
      </c>
      <c r="G206" t="inlineStr">
        <is>
          <t>LJUSNARSBERG</t>
        </is>
      </c>
      <c r="H206" t="inlineStr">
        <is>
          <t>Kommuner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46252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4521-2023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45275</v>
      </c>
      <c r="E208" s="1" t="n">
        <v>46252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1099-2022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44615</v>
      </c>
      <c r="E209" s="1" t="n">
        <v>46252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147.4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7277-2021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46252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2836-2023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45167</v>
      </c>
      <c r="E211" s="1" t="n">
        <v>46252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707-2025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45720</v>
      </c>
      <c r="E212" s="1" t="n">
        <v>46252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1972-2025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45832</v>
      </c>
      <c r="E213" s="1" t="n">
        <v>46252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3578-2025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46010</v>
      </c>
      <c r="E214" s="1" t="n">
        <v>46252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603-2026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46085</v>
      </c>
      <c r="E215" s="1" t="n">
        <v>46252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125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1743-2026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46185</v>
      </c>
      <c r="E216" s="1" t="n">
        <v>46252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16.8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1624-2026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46174</v>
      </c>
      <c r="E217" s="1" t="n">
        <v>46252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2026-08-18T01:49:12Z</dcterms:created>
  <dcterms:modified xmlns:dcterms="http://purl.org/dc/terms/" xmlns:xsi="http://www.w3.org/2001/XMLSchema-instance" xsi:type="dcterms:W3CDTF">2026-08-18T01:49:12Z</dcterms:modified>
</cp:coreProperties>
</file>