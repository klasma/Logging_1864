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46255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46255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46255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46255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46255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46255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46255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46255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46255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46255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46255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46255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46255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Tvåblad
Nattviol</t>
        </is>
      </c>
      <c r="W18">
        <f>HYPERLINK("https://klasma.github.io/Logging_1864/artfynd/A 40854-2025 artfynd.xlsx", "A 40854-2025")</f>
        <v/>
      </c>
      <c r="X18">
        <f>HYPERLINK("https://klasma.github.io/Logging_1864/kartor/A 40854-2025 karta.png", "A 40854-2025")</f>
        <v/>
      </c>
      <c r="Y18">
        <f>HYPERLINK("https://klasma.github.io/Logging_1864/kartor_geotiff/A 40854-2025 georefererad karta.tif", "A 40854-2025")</f>
        <v/>
      </c>
      <c r="AA18">
        <f>HYPERLINK("https://klasma.github.io/Logging_1864/klagomål/A 40854-2025 FSC-klagomål.docx", "A 40854-2025")</f>
        <v/>
      </c>
      <c r="AB18">
        <f>HYPERLINK("https://klasma.github.io/Logging_1864/klagomålsmail/A 40854-2025 FSC-klagomål mail.docx", "A 40854-2025")</f>
        <v/>
      </c>
      <c r="AC18">
        <f>HYPERLINK("https://klasma.github.io/Logging_1864/tillsyn/A 40854-2025 tillsynsbegäran.docx", "A 40854-2025")</f>
        <v/>
      </c>
      <c r="AD18">
        <f>HYPERLINK("https://klasma.github.io/Logging_1864/tillsynsmail/A 40854-2025 tillsynsbegäran mail.docx", "A 40854-2025")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46255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46255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46255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33193-2024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45518</v>
      </c>
      <c r="E22" s="1" t="n">
        <v>46255</v>
      </c>
      <c r="F22" t="inlineStr">
        <is>
          <t>ÖREBRO LÄN</t>
        </is>
      </c>
      <c r="G22" t="inlineStr">
        <is>
          <t>LJUSNARSBERG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Tjäder</t>
        </is>
      </c>
      <c r="W22">
        <f>HYPERLINK("https://klasma.github.io/Logging_1864/artfynd/A 33193-2024 artfynd.xlsx", "A 33193-2024")</f>
        <v/>
      </c>
      <c r="X22">
        <f>HYPERLINK("https://klasma.github.io/Logging_1864/kartor/A 33193-2024 karta.png", "A 33193-2024")</f>
        <v/>
      </c>
      <c r="Y22">
        <f>HYPERLINK("https://klasma.github.io/Logging_1864/kartor_geotiff/A 33193-2024 georefererad karta.tif", "A 33193-2024")</f>
        <v/>
      </c>
      <c r="AA22">
        <f>HYPERLINK("https://klasma.github.io/Logging_1864/klagomål/A 33193-2024 FSC-klagomål.docx", "A 33193-2024")</f>
        <v/>
      </c>
      <c r="AB22">
        <f>HYPERLINK("https://klasma.github.io/Logging_1864/klagomålsmail/A 33193-2024 FSC-klagomål mail.docx", "A 33193-2024")</f>
        <v/>
      </c>
      <c r="AC22">
        <f>HYPERLINK("https://klasma.github.io/Logging_1864/tillsyn/A 33193-2024 tillsynsbegäran.docx", "A 33193-2024")</f>
        <v/>
      </c>
      <c r="AD22">
        <f>HYPERLINK("https://klasma.github.io/Logging_1864/tillsynsmail/A 33193-2024 tillsynsbegäran mail.docx", "A 33193-2024")</f>
        <v/>
      </c>
      <c r="AE22">
        <f>HYPERLINK("https://klasma.github.io/Logging_1864/fåglar/A 33193-2024 prioriterade fågelarter.docx", "A 33193-2024")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46255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46255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46255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46255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46255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46255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46255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46255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A 45537-2024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45578</v>
      </c>
      <c r="E31" s="1" t="n">
        <v>46255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HYPERLINK("https://klasma.github.io/Logging_1864/artfynd/A 45537-2024 artfynd.xlsx", "A 45537-2024")</f>
        <v/>
      </c>
      <c r="X31">
        <f>HYPERLINK("https://klasma.github.io/Logging_1864/kartor/A 45537-2024 karta.png", "A 45537-2024")</f>
        <v/>
      </c>
      <c r="Y31">
        <f>HYPERLINK("https://klasma.github.io/Logging_1864/kartor_geotiff/A 45537-2024 georefererad karta.tif", "A 45537-2024")</f>
        <v/>
      </c>
      <c r="AA31">
        <f>HYPERLINK("https://klasma.github.io/Logging_1864/klagomål/A 45537-2024 FSC-klagomål.docx", "A 45537-2024")</f>
        <v/>
      </c>
      <c r="AB31">
        <f>HYPERLINK("https://klasma.github.io/Logging_1864/klagomålsmail/A 45537-2024 FSC-klagomål mail.docx", "A 45537-2024")</f>
        <v/>
      </c>
      <c r="AC31">
        <f>HYPERLINK("https://klasma.github.io/Logging_1864/tillsyn/A 45537-2024 tillsynsbegäran.docx", "A 45537-2024")</f>
        <v/>
      </c>
      <c r="AD31">
        <f>HYPERLINK("https://klasma.github.io/Logging_1864/tillsynsmail/A 45537-2024 tillsynsbegäran mail.docx", "A 45537-2024")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46255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44858-2021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46255</v>
      </c>
      <c r="F33" t="inlineStr">
        <is>
          <t>ÖREBRO LÄN</t>
        </is>
      </c>
      <c r="G33" t="inlineStr">
        <is>
          <t>LJUSNARSBERG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45859-2021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46255</v>
      </c>
      <c r="F34" t="inlineStr">
        <is>
          <t>ÖREBRO LÄN</t>
        </is>
      </c>
      <c r="G34" t="inlineStr">
        <is>
          <t>LJUSNARSBERG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72157-2021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44544</v>
      </c>
      <c r="E35" s="1" t="n">
        <v>46255</v>
      </c>
      <c r="F35" t="inlineStr">
        <is>
          <t>ÖREBRO LÄN</t>
        </is>
      </c>
      <c r="G35" t="inlineStr">
        <is>
          <t>LJUSNARSBERG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46255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46255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46255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46255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46255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46255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46255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46255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46255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46255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46255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46255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46255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46255</v>
      </c>
      <c r="F49" t="inlineStr">
        <is>
          <t>ÖREBRO LÄN</t>
        </is>
      </c>
      <c r="G49" t="inlineStr">
        <is>
          <t>LJUSNARSBERG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46255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45764</v>
      </c>
      <c r="E51" s="1" t="n">
        <v>46255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46255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46255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45347</v>
      </c>
      <c r="E54" s="1" t="n">
        <v>46255</v>
      </c>
      <c r="F54" t="inlineStr">
        <is>
          <t>ÖREBRO LÄN</t>
        </is>
      </c>
      <c r="G54" t="inlineStr">
        <is>
          <t>LJUSNARSBERG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46255</v>
      </c>
      <c r="F55" t="inlineStr">
        <is>
          <t>ÖREBRO LÄN</t>
        </is>
      </c>
      <c r="G55" t="inlineStr">
        <is>
          <t>LJUSNARSBERG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46255</v>
      </c>
      <c r="F56" t="inlineStr">
        <is>
          <t>ÖREBRO LÄN</t>
        </is>
      </c>
      <c r="G56" t="inlineStr">
        <is>
          <t>LJUSNARSBERG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46255</v>
      </c>
      <c r="F57" t="inlineStr">
        <is>
          <t>ÖREBRO LÄN</t>
        </is>
      </c>
      <c r="G57" t="inlineStr">
        <is>
          <t>LJUSNARSBERG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46255</v>
      </c>
      <c r="F58" t="inlineStr">
        <is>
          <t>ÖREBRO LÄN</t>
        </is>
      </c>
      <c r="G58" t="inlineStr">
        <is>
          <t>LJUSNARSBERG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45124</v>
      </c>
      <c r="E59" s="1" t="n">
        <v>46255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45124</v>
      </c>
      <c r="E60" s="1" t="n">
        <v>46255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22887-2024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45448</v>
      </c>
      <c r="E61" s="1" t="n">
        <v>46255</v>
      </c>
      <c r="F61" t="inlineStr">
        <is>
          <t>ÖREBRO LÄN</t>
        </is>
      </c>
      <c r="G61" t="inlineStr">
        <is>
          <t>LJUSNARSBERG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59497-2024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45638</v>
      </c>
      <c r="E62" s="1" t="n">
        <v>46255</v>
      </c>
      <c r="F62" t="inlineStr">
        <is>
          <t>ÖREBRO LÄN</t>
        </is>
      </c>
      <c r="G62" t="inlineStr">
        <is>
          <t>LJUSNARSBERG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46255</v>
      </c>
      <c r="F63" t="inlineStr">
        <is>
          <t>ÖREBRO LÄN</t>
        </is>
      </c>
      <c r="G63" t="inlineStr">
        <is>
          <t>LJUSNARSBERG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46255</v>
      </c>
      <c r="F64" t="inlineStr">
        <is>
          <t>ÖREBRO LÄN</t>
        </is>
      </c>
      <c r="G64" t="inlineStr">
        <is>
          <t>LJUSNARSBERG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45538-2024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45578</v>
      </c>
      <c r="E65" s="1" t="n">
        <v>46255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46255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46255</v>
      </c>
      <c r="F67" t="inlineStr">
        <is>
          <t>ÖREBRO LÄN</t>
        </is>
      </c>
      <c r="G67" t="inlineStr">
        <is>
          <t>LJUSNARSBERG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29572-2025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46255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45827</v>
      </c>
      <c r="E69" s="1" t="n">
        <v>46255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45827</v>
      </c>
      <c r="E70" s="1" t="n">
        <v>46255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45575</v>
      </c>
      <c r="E71" s="1" t="n">
        <v>46255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46255</v>
      </c>
      <c r="F72" t="inlineStr">
        <is>
          <t>ÖREBRO LÄN</t>
        </is>
      </c>
      <c r="G72" t="inlineStr">
        <is>
          <t>LJUSNARSBERG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46255</v>
      </c>
      <c r="F73" t="inlineStr">
        <is>
          <t>ÖREBRO LÄN</t>
        </is>
      </c>
      <c r="G73" t="inlineStr">
        <is>
          <t>LJUSNARSBERG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46255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46255</v>
      </c>
      <c r="F75" t="inlineStr">
        <is>
          <t>ÖREBRO LÄN</t>
        </is>
      </c>
      <c r="G75" t="inlineStr">
        <is>
          <t>LJUSNARSBERG</t>
        </is>
      </c>
      <c r="H75" t="inlineStr">
        <is>
          <t>Kyrkan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46255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46255</v>
      </c>
      <c r="F77" t="inlineStr">
        <is>
          <t>ÖREBRO LÄN</t>
        </is>
      </c>
      <c r="G77" t="inlineStr">
        <is>
          <t>LJUSNARSBERG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46255</v>
      </c>
      <c r="F78" t="inlineStr">
        <is>
          <t>ÖREBRO LÄN</t>
        </is>
      </c>
      <c r="G78" t="inlineStr">
        <is>
          <t>LJUSNARSBERG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25574-2023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45089</v>
      </c>
      <c r="E79" s="1" t="n">
        <v>46255</v>
      </c>
      <c r="F79" t="inlineStr">
        <is>
          <t>ÖREBRO LÄN</t>
        </is>
      </c>
      <c r="G79" t="inlineStr">
        <is>
          <t>LJUSNARSBERG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46255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46255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46255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46255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46255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46255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46255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24921-2023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46255</v>
      </c>
      <c r="F87" t="inlineStr">
        <is>
          <t>ÖREBRO LÄN</t>
        </is>
      </c>
      <c r="G87" t="inlineStr">
        <is>
          <t>LJUSNARSBERG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46255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46255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45659</v>
      </c>
      <c r="E90" s="1" t="n">
        <v>46255</v>
      </c>
      <c r="F90" t="inlineStr">
        <is>
          <t>ÖREBRO LÄN</t>
        </is>
      </c>
      <c r="G90" t="inlineStr">
        <is>
          <t>LJUSNARSBERG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59629-2024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46255</v>
      </c>
      <c r="F91" t="inlineStr">
        <is>
          <t>ÖREBRO LÄN</t>
        </is>
      </c>
      <c r="G91" t="inlineStr">
        <is>
          <t>LJUSNARSBERG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46255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46255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46255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45909</v>
      </c>
      <c r="E95" s="1" t="n">
        <v>46255</v>
      </c>
      <c r="F95" t="inlineStr">
        <is>
          <t>ÖREBRO LÄN</t>
        </is>
      </c>
      <c r="G95" t="inlineStr">
        <is>
          <t>LJUSNARSBERG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46255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44739</v>
      </c>
      <c r="E97" s="1" t="n">
        <v>46255</v>
      </c>
      <c r="F97" t="inlineStr">
        <is>
          <t>ÖREBRO LÄN</t>
        </is>
      </c>
      <c r="G97" t="inlineStr">
        <is>
          <t>LJUSNARSBERG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45925</v>
      </c>
      <c r="E98" s="1" t="n">
        <v>46255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46255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46255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46255</v>
      </c>
      <c r="F101" t="inlineStr">
        <is>
          <t>ÖREBRO LÄN</t>
        </is>
      </c>
      <c r="G101" t="inlineStr">
        <is>
          <t>LJUSNARSBERG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59627-2024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45638</v>
      </c>
      <c r="E102" s="1" t="n">
        <v>46255</v>
      </c>
      <c r="F102" t="inlineStr">
        <is>
          <t>ÖREBRO LÄN</t>
        </is>
      </c>
      <c r="G102" t="inlineStr">
        <is>
          <t>LJUSNARSBERG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46255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46255</v>
      </c>
      <c r="F104" t="inlineStr">
        <is>
          <t>ÖREBRO LÄN</t>
        </is>
      </c>
      <c r="G104" t="inlineStr">
        <is>
          <t>LJUSNARSBERG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46255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46255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46255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46255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46255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46255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46255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46255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46255</v>
      </c>
      <c r="F113" t="inlineStr">
        <is>
          <t>ÖREBRO LÄN</t>
        </is>
      </c>
      <c r="G113" t="inlineStr">
        <is>
          <t>LJUSNARSBERG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46255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44734</v>
      </c>
      <c r="E115" s="1" t="n">
        <v>46255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50865-2025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45946</v>
      </c>
      <c r="E116" s="1" t="n">
        <v>46255</v>
      </c>
      <c r="F116" t="inlineStr">
        <is>
          <t>ÖREBRO LÄN</t>
        </is>
      </c>
      <c r="G116" t="inlineStr">
        <is>
          <t>LJUSNARSBERG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45951</v>
      </c>
      <c r="E117" s="1" t="n">
        <v>46255</v>
      </c>
      <c r="F117" t="inlineStr">
        <is>
          <t>ÖREBRO LÄN</t>
        </is>
      </c>
      <c r="G117" t="inlineStr">
        <is>
          <t>LJUSNARSBERG</t>
        </is>
      </c>
      <c r="I117" t="n">
        <v>10.8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44565</v>
      </c>
      <c r="E118" s="1" t="n">
        <v>46255</v>
      </c>
      <c r="F118" t="inlineStr">
        <is>
          <t>ÖREBRO LÄN</t>
        </is>
      </c>
      <c r="G118" t="inlineStr">
        <is>
          <t>LJUSNARSBERG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46255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46255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46263-2021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44442</v>
      </c>
      <c r="E121" s="1" t="n">
        <v>46255</v>
      </c>
      <c r="F121" t="inlineStr">
        <is>
          <t>ÖREBRO LÄN</t>
        </is>
      </c>
      <c r="G121" t="inlineStr">
        <is>
          <t>LJUSNARSBERG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46255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46255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46255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44438</v>
      </c>
      <c r="E125" s="1" t="n">
        <v>46255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46255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45394</v>
      </c>
      <c r="E127" s="1" t="n">
        <v>46255</v>
      </c>
      <c r="F127" t="inlineStr">
        <is>
          <t>ÖREBRO LÄN</t>
        </is>
      </c>
      <c r="G127" t="inlineStr">
        <is>
          <t>LJUSNARSBERG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46255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46255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67746-2021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46255</v>
      </c>
      <c r="F130" t="inlineStr">
        <is>
          <t>ÖREBRO LÄN</t>
        </is>
      </c>
      <c r="G130" t="inlineStr">
        <is>
          <t>LJUSNARSBERG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46255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46255</v>
      </c>
      <c r="F132" t="inlineStr">
        <is>
          <t>ÖREBRO LÄN</t>
        </is>
      </c>
      <c r="G132" t="inlineStr">
        <is>
          <t>LJUSNARSBERG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44564</v>
      </c>
      <c r="E133" s="1" t="n">
        <v>46255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46255</v>
      </c>
      <c r="F134" t="inlineStr">
        <is>
          <t>ÖREBRO LÄN</t>
        </is>
      </c>
      <c r="G134" t="inlineStr">
        <is>
          <t>LJUSNARSBERG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46255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46255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46255</v>
      </c>
      <c r="F137" t="inlineStr">
        <is>
          <t>ÖREBRO LÄN</t>
        </is>
      </c>
      <c r="G137" t="inlineStr">
        <is>
          <t>LJUSNARSBERG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45463</v>
      </c>
      <c r="E138" s="1" t="n">
        <v>46255</v>
      </c>
      <c r="F138" t="inlineStr">
        <is>
          <t>ÖREBRO LÄN</t>
        </is>
      </c>
      <c r="G138" t="inlineStr">
        <is>
          <t>LJUSNARSBERG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19936-2026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46136</v>
      </c>
      <c r="E139" s="1" t="n">
        <v>46255</v>
      </c>
      <c r="F139" t="inlineStr">
        <is>
          <t>ÖREBRO LÄN</t>
        </is>
      </c>
      <c r="G139" t="inlineStr">
        <is>
          <t>LJUSNARSBERG</t>
        </is>
      </c>
      <c r="H139" t="inlineStr">
        <is>
          <t>Sveaskog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46136</v>
      </c>
      <c r="E140" s="1" t="n">
        <v>46255</v>
      </c>
      <c r="F140" t="inlineStr">
        <is>
          <t>ÖREBRO LÄN</t>
        </is>
      </c>
      <c r="G140" t="inlineStr">
        <is>
          <t>LJUSNARSBERG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45217</v>
      </c>
      <c r="E141" s="1" t="n">
        <v>46255</v>
      </c>
      <c r="F141" t="inlineStr">
        <is>
          <t>ÖREBRO LÄN</t>
        </is>
      </c>
      <c r="G141" t="inlineStr">
        <is>
          <t>LJUSNARSBERG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45649</v>
      </c>
      <c r="E142" s="1" t="n">
        <v>46255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46255</v>
      </c>
      <c r="F143" t="inlineStr">
        <is>
          <t>ÖREBRO LÄN</t>
        </is>
      </c>
      <c r="G143" t="inlineStr">
        <is>
          <t>LJUSNARSBERG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46255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46255</v>
      </c>
      <c r="F145" t="inlineStr">
        <is>
          <t>ÖREBRO LÄN</t>
        </is>
      </c>
      <c r="G145" t="inlineStr">
        <is>
          <t>LJUSNARSBERG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46255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36108-2024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46255</v>
      </c>
      <c r="F147" t="inlineStr">
        <is>
          <t>ÖREBRO LÄN</t>
        </is>
      </c>
      <c r="G147" t="inlineStr">
        <is>
          <t>LJUSNARSBERG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44694</v>
      </c>
      <c r="E148" s="1" t="n">
        <v>46255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46255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46255</v>
      </c>
      <c r="F150" t="inlineStr">
        <is>
          <t>ÖREBRO LÄN</t>
        </is>
      </c>
      <c r="G150" t="inlineStr">
        <is>
          <t>LJUSNARSBERG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46255</v>
      </c>
      <c r="F151" t="inlineStr">
        <is>
          <t>ÖREBRO LÄN</t>
        </is>
      </c>
      <c r="G151" t="inlineStr">
        <is>
          <t>LJUSNARSBERG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46255</v>
      </c>
      <c r="F152" t="inlineStr">
        <is>
          <t>ÖREBRO LÄN</t>
        </is>
      </c>
      <c r="G152" t="inlineStr">
        <is>
          <t>LJUSNARSBERG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46255</v>
      </c>
      <c r="F153" t="inlineStr">
        <is>
          <t>ÖREBRO LÄN</t>
        </is>
      </c>
      <c r="G153" t="inlineStr">
        <is>
          <t>LJUSNARSBERG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44790</v>
      </c>
      <c r="E154" s="1" t="n">
        <v>46255</v>
      </c>
      <c r="F154" t="inlineStr">
        <is>
          <t>ÖREBRO LÄN</t>
        </is>
      </c>
      <c r="G154" t="inlineStr">
        <is>
          <t>LJUSNARSBERG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46255</v>
      </c>
      <c r="F155" t="inlineStr">
        <is>
          <t>ÖREBRO LÄN</t>
        </is>
      </c>
      <c r="G155" t="inlineStr">
        <is>
          <t>LJUSNARSBERG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46255</v>
      </c>
      <c r="F156" t="inlineStr">
        <is>
          <t>ÖREBRO LÄN</t>
        </is>
      </c>
      <c r="G156" t="inlineStr">
        <is>
          <t>LJUSNARSBERG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46255</v>
      </c>
      <c r="F157" t="inlineStr">
        <is>
          <t>ÖREBRO LÄN</t>
        </is>
      </c>
      <c r="G157" t="inlineStr">
        <is>
          <t>LJUSNARSBERG</t>
        </is>
      </c>
      <c r="I157" t="n">
        <v>14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46255</v>
      </c>
      <c r="F158" t="inlineStr">
        <is>
          <t>ÖREBRO LÄN</t>
        </is>
      </c>
      <c r="G158" t="inlineStr">
        <is>
          <t>LJUSNARSBERG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57129-2021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46255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46255</v>
      </c>
      <c r="F160" t="inlineStr">
        <is>
          <t>ÖREBRO LÄN</t>
        </is>
      </c>
      <c r="G160" t="inlineStr">
        <is>
          <t>LJUSNARSBERG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46255</v>
      </c>
      <c r="F161" t="inlineStr">
        <is>
          <t>ÖREBRO LÄN</t>
        </is>
      </c>
      <c r="G161" t="inlineStr">
        <is>
          <t>LJUSNARSBERG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46255</v>
      </c>
      <c r="F162" t="inlineStr">
        <is>
          <t>ÖREBRO LÄN</t>
        </is>
      </c>
      <c r="G162" t="inlineStr">
        <is>
          <t>LJUSNARSBERG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46255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46255</v>
      </c>
      <c r="F164" t="inlineStr">
        <is>
          <t>ÖREBRO LÄN</t>
        </is>
      </c>
      <c r="G164" t="inlineStr">
        <is>
          <t>LJUSNARSBERG</t>
        </is>
      </c>
      <c r="H164" t="inlineStr">
        <is>
          <t>Kyrkan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46255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45177</v>
      </c>
      <c r="E166" s="1" t="n">
        <v>46255</v>
      </c>
      <c r="F166" t="inlineStr">
        <is>
          <t>ÖREBRO LÄN</t>
        </is>
      </c>
      <c r="G166" t="inlineStr">
        <is>
          <t>LJUSNARSBERG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46255</v>
      </c>
      <c r="F167" t="inlineStr">
        <is>
          <t>ÖREBRO LÄN</t>
        </is>
      </c>
      <c r="G167" t="inlineStr">
        <is>
          <t>LJUSNARSBERG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46255</v>
      </c>
      <c r="F168" t="inlineStr">
        <is>
          <t>ÖREBRO LÄN</t>
        </is>
      </c>
      <c r="G168" t="inlineStr">
        <is>
          <t>LJUSNARSBERG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46255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46255</v>
      </c>
      <c r="F170" t="inlineStr">
        <is>
          <t>ÖREBRO LÄN</t>
        </is>
      </c>
      <c r="G170" t="inlineStr">
        <is>
          <t>LJUSNARSBERG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46255</v>
      </c>
      <c r="F171" t="inlineStr">
        <is>
          <t>ÖREBRO LÄN</t>
        </is>
      </c>
      <c r="G171" t="inlineStr">
        <is>
          <t>LJUSNARSBERG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45265</v>
      </c>
      <c r="E172" s="1" t="n">
        <v>46255</v>
      </c>
      <c r="F172" t="inlineStr">
        <is>
          <t>ÖREBRO LÄN</t>
        </is>
      </c>
      <c r="G172" t="inlineStr">
        <is>
          <t>LJUSNARSBERG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46255</v>
      </c>
      <c r="F173" t="inlineStr">
        <is>
          <t>ÖREBRO LÄN</t>
        </is>
      </c>
      <c r="G173" t="inlineStr">
        <is>
          <t>LJUSNARSBERG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46255</v>
      </c>
      <c r="F174" t="inlineStr">
        <is>
          <t>ÖREBRO LÄN</t>
        </is>
      </c>
      <c r="G174" t="inlineStr">
        <is>
          <t>LJUSNARSBERG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46183</v>
      </c>
      <c r="E175" s="1" t="n">
        <v>46255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46255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46255</v>
      </c>
      <c r="F177" t="inlineStr">
        <is>
          <t>ÖREBRO LÄN</t>
        </is>
      </c>
      <c r="G177" t="inlineStr">
        <is>
          <t>LJUSNARSBERG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46255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46255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46255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46255</v>
      </c>
      <c r="F181" t="inlineStr">
        <is>
          <t>ÖREBRO LÄN</t>
        </is>
      </c>
      <c r="G181" t="inlineStr">
        <is>
          <t>LJUSNARSBERG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46255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46247</v>
      </c>
      <c r="E183" s="1" t="n">
        <v>46255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46255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44690</v>
      </c>
      <c r="E185" s="1" t="n">
        <v>46255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59495-2024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45638</v>
      </c>
      <c r="E186" s="1" t="n">
        <v>46255</v>
      </c>
      <c r="F186" t="inlineStr">
        <is>
          <t>ÖREBRO LÄN</t>
        </is>
      </c>
      <c r="G186" t="inlineStr">
        <is>
          <t>LJUSNARSBERG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46255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46255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46255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45478</v>
      </c>
      <c r="E190" s="1" t="n">
        <v>46255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46255</v>
      </c>
      <c r="F191" t="inlineStr">
        <is>
          <t>ÖREBRO LÄN</t>
        </is>
      </c>
      <c r="G191" t="inlineStr">
        <is>
          <t>LJUSNARSBERG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45698</v>
      </c>
      <c r="E192" s="1" t="n">
        <v>46255</v>
      </c>
      <c r="F192" t="inlineStr">
        <is>
          <t>ÖREBRO LÄN</t>
        </is>
      </c>
      <c r="G192" t="inlineStr">
        <is>
          <t>LJUSNARSBERG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46255</v>
      </c>
      <c r="F193" t="inlineStr">
        <is>
          <t>ÖREBRO LÄN</t>
        </is>
      </c>
      <c r="G193" t="inlineStr">
        <is>
          <t>LJUSNARSBERG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46255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46255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44956</v>
      </c>
      <c r="E196" s="1" t="n">
        <v>46255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46255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45807</v>
      </c>
      <c r="E198" s="1" t="n">
        <v>46255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20673-2025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45776</v>
      </c>
      <c r="E199" s="1" t="n">
        <v>46255</v>
      </c>
      <c r="F199" t="inlineStr">
        <is>
          <t>ÖREBRO LÄN</t>
        </is>
      </c>
      <c r="G199" t="inlineStr">
        <is>
          <t>LJUSNARSBERG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46255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46255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46255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46255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46255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46255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7278-2021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44467</v>
      </c>
      <c r="E206" s="1" t="n">
        <v>46255</v>
      </c>
      <c r="F206" t="inlineStr">
        <is>
          <t>ÖREBRO LÄN</t>
        </is>
      </c>
      <c r="G206" t="inlineStr">
        <is>
          <t>LJUSNARSBERG</t>
        </is>
      </c>
      <c r="H206" t="inlineStr">
        <is>
          <t>Kommuner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46255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46255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46255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46255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46255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46255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46255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46255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46255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2026-08-21T01:49:40Z</dcterms:created>
  <dcterms:modified xmlns:dcterms="http://purl.org/dc/terms/" xmlns:xsi="http://www.w3.org/2001/XMLSchema-instance" xsi:type="dcterms:W3CDTF">2026-08-21T01:49:41Z</dcterms:modified>
</cp:coreProperties>
</file>