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t="n">
        <v>26</v>
      </c>
      <c r="V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W3">
        <f>HYPERLINK("https://klasma.github.io/Logging_1864/artfynd/A 37817-2021 artfynd.xlsx", "A 37817-2021")</f>
        <v/>
      </c>
      <c r="X3">
        <f>HYPERLINK("https://klasma.github.io/Logging_1864/kartor/A 37817-2021 karta.png", "A 37817-2021")</f>
        <v/>
      </c>
      <c r="Y3">
        <f>HYPERLINK("https://klasma.github.io/Logging_1864/kartor_geotiff/A 37817-2021 georefererad karta.tif", "A 37817-2021")</f>
        <v/>
      </c>
      <c r="AA3">
        <f>HYPERLINK("https://klasma.github.io/Logging_1864/klagomål/A 37817-2021 FSC-klagomål.docx", "A 37817-2021")</f>
        <v/>
      </c>
      <c r="AB3">
        <f>HYPERLINK("https://klasma.github.io/Logging_1864/klagomålsmail/A 37817-2021 FSC-klagomål mail.docx", "A 37817-2021")</f>
        <v/>
      </c>
      <c r="AC3">
        <f>HYPERLINK("https://klasma.github.io/Logging_1864/tillsyn/A 37817-2021 tillsynsbegäran.docx", "A 37817-2021")</f>
        <v/>
      </c>
      <c r="AD3">
        <f>HYPERLINK("https://klasma.github.io/Logging_1864/tillsynsmail/A 37817-2021 tillsynsbegäran mail.docx", "A 37817-2021")</f>
        <v/>
      </c>
      <c r="AE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t="n">
        <v>13</v>
      </c>
      <c r="V4" s="2" t="inlineStr">
        <is>
          <t>Garnlav
Brunpudrad nållav
Tretåig hackspett
Vedtrappmossa
Flagellkvastmossa
Gulnål
Mindre märgborre
Vedticka
Vågbandad barkbock</t>
        </is>
      </c>
      <c r="W4">
        <f>HYPERLINK("https://klasma.github.io/Logging_1864/artfynd/A 65215-2021 artfynd.xlsx", "A 65215-2021")</f>
        <v/>
      </c>
      <c r="X4">
        <f>HYPERLINK("https://klasma.github.io/Logging_1864/kartor/A 65215-2021 karta.png", "A 65215-2021")</f>
        <v/>
      </c>
      <c r="Y4">
        <f>HYPERLINK("https://klasma.github.io/Logging_1864/kartor_geotiff/A 65215-2021 georefererad karta.tif", "A 65215-2021")</f>
        <v/>
      </c>
      <c r="AA4">
        <f>HYPERLINK("https://klasma.github.io/Logging_1864/klagomål/A 65215-2021 FSC-klagomål.docx", "A 65215-2021")</f>
        <v/>
      </c>
      <c r="AB4">
        <f>HYPERLINK("https://klasma.github.io/Logging_1864/klagomålsmail/A 65215-2021 FSC-klagomål mail.docx", "A 65215-2021")</f>
        <v/>
      </c>
      <c r="AC4">
        <f>HYPERLINK("https://klasma.github.io/Logging_1864/tillsyn/A 65215-2021 tillsynsbegäran.docx", "A 65215-2021")</f>
        <v/>
      </c>
      <c r="AD4">
        <f>HYPERLINK("https://klasma.github.io/Logging_1864/tillsynsmail/A 65215-2021 tillsynsbegäran mail.docx", "A 65215-2021")</f>
        <v/>
      </c>
      <c r="AE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46228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t="n">
        <v>8</v>
      </c>
      <c r="V5" s="2" t="inlineStr">
        <is>
          <t>Garnlav
Brunpudrad nållav
Tallriska
Tretåig hackspett
Gulnål
Mindre märgborre
Thomsons trägnagare
Tjäder</t>
        </is>
      </c>
      <c r="W5">
        <f>HYPERLINK("https://klasma.github.io/Logging_1864/artfynd/A 65216-2021 artfynd.xlsx", "A 65216-2021")</f>
        <v/>
      </c>
      <c r="X5">
        <f>HYPERLINK("https://klasma.github.io/Logging_1864/kartor/A 65216-2021 karta.png", "A 65216-2021")</f>
        <v/>
      </c>
      <c r="Y5">
        <f>HYPERLINK("https://klasma.github.io/Logging_1864/kartor_geotiff/A 65216-2021 georefererad karta.tif", "A 65216-2021")</f>
        <v/>
      </c>
      <c r="AA5">
        <f>HYPERLINK("https://klasma.github.io/Logging_1864/klagomål/A 65216-2021 FSC-klagomål.docx", "A 65216-2021")</f>
        <v/>
      </c>
      <c r="AB5">
        <f>HYPERLINK("https://klasma.github.io/Logging_1864/klagomålsmail/A 65216-2021 FSC-klagomål mail.docx", "A 65216-2021")</f>
        <v/>
      </c>
      <c r="AC5">
        <f>HYPERLINK("https://klasma.github.io/Logging_1864/tillsyn/A 65216-2021 tillsynsbegäran.docx", "A 65216-2021")</f>
        <v/>
      </c>
      <c r="AD5">
        <f>HYPERLINK("https://klasma.github.io/Logging_1864/tillsynsmail/A 65216-2021 tillsynsbegäran mail.docx", "A 65216-2021")</f>
        <v/>
      </c>
      <c r="AE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46228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t="n">
        <v>8</v>
      </c>
      <c r="V6" s="2" t="inlineStr">
        <is>
          <t>Garnlav
Talltita
Vedticka
Spillkråka
Tofsmes
Kungsfågel
Svartvit flugsnappare</t>
        </is>
      </c>
      <c r="W6">
        <f>HYPERLINK("https://klasma.github.io/Logging_1864/artfynd/A 45797-2021 artfynd.xlsx", "A 45797-2021")</f>
        <v/>
      </c>
      <c r="X6">
        <f>HYPERLINK("https://klasma.github.io/Logging_1864/kartor/A 45797-2021 karta.png", "A 45797-2021")</f>
        <v/>
      </c>
      <c r="Y6">
        <f>HYPERLINK("https://klasma.github.io/Logging_1864/kartor_geotiff/A 45797-2021 georefererad karta.tif", "A 45797-2021")</f>
        <v/>
      </c>
      <c r="AA6">
        <f>HYPERLINK("https://klasma.github.io/Logging_1864/klagomål/A 45797-2021 FSC-klagomål.docx", "A 45797-2021")</f>
        <v/>
      </c>
      <c r="AB6">
        <f>HYPERLINK("https://klasma.github.io/Logging_1864/klagomålsmail/A 45797-2021 FSC-klagomål mail.docx", "A 45797-2021")</f>
        <v/>
      </c>
      <c r="AC6">
        <f>HYPERLINK("https://klasma.github.io/Logging_1864/tillsyn/A 45797-2021 tillsynsbegäran.docx", "A 45797-2021")</f>
        <v/>
      </c>
      <c r="AD6">
        <f>HYPERLINK("https://klasma.github.io/Logging_1864/tillsynsmail/A 45797-2021 tillsynsbegäran mail.docx", "A 45797-2021")</f>
        <v/>
      </c>
      <c r="AE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46228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46228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46228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t="n">
        <v>12</v>
      </c>
      <c r="V9" s="2" t="inlineStr">
        <is>
          <t>Motaggsvamp
Tallriska
Tretåig hackspett
Vedtrappmossa
Bollvitmossa</t>
        </is>
      </c>
      <c r="W9">
        <f>HYPERLINK("https://klasma.github.io/Logging_1864/artfynd/A 65217-2021 artfynd.xlsx", "A 65217-2021")</f>
        <v/>
      </c>
      <c r="X9">
        <f>HYPERLINK("https://klasma.github.io/Logging_1864/kartor/A 65217-2021 karta.png", "A 65217-2021")</f>
        <v/>
      </c>
      <c r="Y9">
        <f>HYPERLINK("https://klasma.github.io/Logging_1864/kartor_geotiff/A 65217-2021 georefererad karta.tif", "A 65217-2021")</f>
        <v/>
      </c>
      <c r="AA9">
        <f>HYPERLINK("https://klasma.github.io/Logging_1864/klagomål/A 65217-2021 FSC-klagomål.docx", "A 65217-2021")</f>
        <v/>
      </c>
      <c r="AB9">
        <f>HYPERLINK("https://klasma.github.io/Logging_1864/klagomålsmail/A 65217-2021 FSC-klagomål mail.docx", "A 65217-2021")</f>
        <v/>
      </c>
      <c r="AC9">
        <f>HYPERLINK("https://klasma.github.io/Logging_1864/tillsyn/A 65217-2021 tillsynsbegäran.docx", "A 65217-2021")</f>
        <v/>
      </c>
      <c r="AD9">
        <f>HYPERLINK("https://klasma.github.io/Logging_1864/tillsynsmail/A 65217-2021 tillsynsbegäran mail.docx", "A 65217-2021")</f>
        <v/>
      </c>
      <c r="AE9">
        <f>HYPERLINK("https://klasma.github.io/Logging_1864/fåglar/A 65217-2021 prioriterade fågelarter.docx", "A 65217-2021")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46228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46127</v>
      </c>
      <c r="E11" s="1" t="n">
        <v>46228</v>
      </c>
      <c r="F11" t="inlineStr">
        <is>
          <t>ÖREBRO LÄN</t>
        </is>
      </c>
      <c r="G11" t="inlineStr">
        <is>
          <t>LJUSNARSBERG</t>
        </is>
      </c>
      <c r="I11" t="n">
        <v>9.5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Entita
Bronshjon
Spillkråka
Grönsiska
Kungsfågel</t>
        </is>
      </c>
      <c r="W11">
        <f>HYPERLINK("https://klasma.github.io/Logging_1864/artfynd/A 18853-2026 artfynd.xlsx", "A 18853-2026")</f>
        <v/>
      </c>
      <c r="X11">
        <f>HYPERLINK("https://klasma.github.io/Logging_1864/kartor/A 18853-2026 karta.png", "A 18853-2026")</f>
        <v/>
      </c>
      <c r="Y11">
        <f>HYPERLINK("https://klasma.github.io/Logging_1864/kartor_geotiff/A 18853-2026 georefererad karta.tif", "A 18853-2026")</f>
        <v/>
      </c>
      <c r="AA11">
        <f>HYPERLINK("https://klasma.github.io/Logging_1864/klagomål/A 18853-2026 FSC-klagomål.docx", "A 18853-2026")</f>
        <v/>
      </c>
      <c r="AB11">
        <f>HYPERLINK("https://klasma.github.io/Logging_1864/klagomålsmail/A 18853-2026 FSC-klagomål mail.docx", "A 18853-2026")</f>
        <v/>
      </c>
      <c r="AC11">
        <f>HYPERLINK("https://klasma.github.io/Logging_1864/tillsyn/A 18853-2026 tillsynsbegäran.docx", "A 18853-2026")</f>
        <v/>
      </c>
      <c r="AD11">
        <f>HYPERLINK("https://klasma.github.io/Logging_1864/tillsynsmail/A 18853-2026 tillsynsbegäran mail.docx", "A 18853-2026")</f>
        <v/>
      </c>
      <c r="AE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46228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46228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46228</v>
      </c>
      <c r="F14" t="inlineStr">
        <is>
          <t>ÖREBRO LÄN</t>
        </is>
      </c>
      <c r="G14" t="inlineStr">
        <is>
          <t>LJUSNARSBERG</t>
        </is>
      </c>
      <c r="I14" t="n">
        <v>10.5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11</v>
      </c>
      <c r="U14" t="n">
        <v>11</v>
      </c>
      <c r="V14" s="2" t="inlineStr">
        <is>
          <t>Tretåig hackspett
Tjäder
Vanlig groda
Fläcknycklar</t>
        </is>
      </c>
      <c r="W14">
        <f>HYPERLINK("https://klasma.github.io/Logging_1864/artfynd/A 24307-2026 artfynd.xlsx", "A 24307-2026")</f>
        <v/>
      </c>
      <c r="X14">
        <f>HYPERLINK("https://klasma.github.io/Logging_1864/kartor/A 24307-2026 karta.png", "A 24307-2026")</f>
        <v/>
      </c>
      <c r="Y14">
        <f>HYPERLINK("https://klasma.github.io/Logging_1864/kartor_geotiff/A 24307-2026 georefererad karta.tif", "A 24307-2026")</f>
        <v/>
      </c>
      <c r="AA14">
        <f>HYPERLINK("https://klasma.github.io/Logging_1864/klagomål/A 24307-2026 FSC-klagomål.docx", "A 24307-2026")</f>
        <v/>
      </c>
      <c r="AB14">
        <f>HYPERLINK("https://klasma.github.io/Logging_1864/klagomålsmail/A 24307-2026 FSC-klagomål mail.docx", "A 24307-2026")</f>
        <v/>
      </c>
      <c r="AC14">
        <f>HYPERLINK("https://klasma.github.io/Logging_1864/tillsyn/A 24307-2026 tillsynsbegäran.docx", "A 24307-2026")</f>
        <v/>
      </c>
      <c r="AD14">
        <f>HYPERLINK("https://klasma.github.io/Logging_1864/tillsynsmail/A 24307-2026 tillsynsbegäran mail.docx", "A 24307-2026")</f>
        <v/>
      </c>
      <c r="AE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46228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46228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46228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46228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46228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62105-2022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44920</v>
      </c>
      <c r="E20" s="1" t="n">
        <v>46228</v>
      </c>
      <c r="F20" t="inlineStr">
        <is>
          <t>ÖREBRO LÄN</t>
        </is>
      </c>
      <c r="G20" t="inlineStr">
        <is>
          <t>LJUSNARSBERG</t>
        </is>
      </c>
      <c r="I20" t="n">
        <v>5.7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7</v>
      </c>
      <c r="V20" s="2" t="inlineStr">
        <is>
          <t>Spillkråka
Kungsfågel</t>
        </is>
      </c>
      <c r="W20">
        <f>HYPERLINK("https://klasma.github.io/Logging_1864/artfynd/A 62105-2022 artfynd.xlsx", "A 62105-2022")</f>
        <v/>
      </c>
      <c r="X20">
        <f>HYPERLINK("https://klasma.github.io/Logging_1864/kartor/A 62105-2022 karta.png", "A 62105-2022")</f>
        <v/>
      </c>
      <c r="Y20">
        <f>HYPERLINK("https://klasma.github.io/Logging_1864/kartor_geotiff/A 62105-2022 georefererad karta.tif", "A 62105-2022")</f>
        <v/>
      </c>
      <c r="AA20">
        <f>HYPERLINK("https://klasma.github.io/Logging_1864/klagomål/A 62105-2022 FSC-klagomål.docx", "A 62105-2022")</f>
        <v/>
      </c>
      <c r="AB20">
        <f>HYPERLINK("https://klasma.github.io/Logging_1864/klagomålsmail/A 62105-2022 FSC-klagomål mail.docx", "A 62105-2022")</f>
        <v/>
      </c>
      <c r="AC20">
        <f>HYPERLINK("https://klasma.github.io/Logging_1864/tillsyn/A 62105-2022 tillsynsbegäran.docx", "A 62105-2022")</f>
        <v/>
      </c>
      <c r="AD20">
        <f>HYPERLINK("https://klasma.github.io/Logging_1864/tillsynsmail/A 62105-2022 tillsynsbegäran mail.docx", "A 62105-2022")</f>
        <v/>
      </c>
      <c r="AE20">
        <f>HYPERLINK("https://klasma.github.io/Logging_1864/fåglar/A 62105-2022 prioriterade fågelarter.docx", "A 62105-2022")</f>
        <v/>
      </c>
    </row>
    <row r="21" ht="15" customHeight="1">
      <c r="A21" t="inlineStr">
        <is>
          <t>A 53729-2024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46228</v>
      </c>
      <c r="F21" t="inlineStr">
        <is>
          <t>ÖREBRO LÄN</t>
        </is>
      </c>
      <c r="G21" t="inlineStr">
        <is>
          <t>LJUSNARSBERG</t>
        </is>
      </c>
      <c r="I21" t="n">
        <v>14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Aspfjädermossa
Smal svampklubba</t>
        </is>
      </c>
      <c r="W21">
        <f>HYPERLINK("https://klasma.github.io/Logging_1864/artfynd/A 53729-2024 artfynd.xlsx", "A 53729-2024")</f>
        <v/>
      </c>
      <c r="X21">
        <f>HYPERLINK("https://klasma.github.io/Logging_1864/kartor/A 53729-2024 karta.png", "A 53729-2024")</f>
        <v/>
      </c>
      <c r="Y21">
        <f>HYPERLINK("https://klasma.github.io/Logging_1864/kartor_geotiff/A 53729-2024 georefererad karta.tif", "A 53729-2024")</f>
        <v/>
      </c>
      <c r="AA21">
        <f>HYPERLINK("https://klasma.github.io/Logging_1864/klagomål/A 53729-2024 FSC-klagomål.docx", "A 53729-2024")</f>
        <v/>
      </c>
      <c r="AB21">
        <f>HYPERLINK("https://klasma.github.io/Logging_1864/klagomålsmail/A 53729-2024 FSC-klagomål mail.docx", "A 53729-2024")</f>
        <v/>
      </c>
      <c r="AC21">
        <f>HYPERLINK("https://klasma.github.io/Logging_1864/tillsyn/A 53729-2024 tillsynsbegäran.docx", "A 53729-2024")</f>
        <v/>
      </c>
      <c r="AD21">
        <f>HYPERLINK("https://klasma.github.io/Logging_1864/tillsynsmail/A 53729-2024 tillsynsbegäran mail.docx", "A 53729-2024")</f>
        <v/>
      </c>
    </row>
    <row r="22" ht="15" customHeight="1">
      <c r="A22" t="inlineStr">
        <is>
          <t>A 45536-2024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45578</v>
      </c>
      <c r="E22" s="1" t="n">
        <v>46228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5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Tvåblad
Fläcknycklar</t>
        </is>
      </c>
      <c r="W22">
        <f>HYPERLINK("https://klasma.github.io/Logging_1864/artfynd/A 45536-2024 artfynd.xlsx", "A 45536-2024")</f>
        <v/>
      </c>
      <c r="X22">
        <f>HYPERLINK("https://klasma.github.io/Logging_1864/kartor/A 45536-2024 karta.png", "A 45536-2024")</f>
        <v/>
      </c>
      <c r="Y22">
        <f>HYPERLINK("https://klasma.github.io/Logging_1864/kartor_geotiff/A 45536-2024 georefererad karta.tif", "A 45536-2024")</f>
        <v/>
      </c>
      <c r="AA22">
        <f>HYPERLINK("https://klasma.github.io/Logging_1864/klagomål/A 45536-2024 FSC-klagomål.docx", "A 45536-2024")</f>
        <v/>
      </c>
      <c r="AB22">
        <f>HYPERLINK("https://klasma.github.io/Logging_1864/klagomålsmail/A 45536-2024 FSC-klagomål mail.docx", "A 45536-2024")</f>
        <v/>
      </c>
      <c r="AC22">
        <f>HYPERLINK("https://klasma.github.io/Logging_1864/tillsyn/A 45536-2024 tillsynsbegäran.docx", "A 45536-2024")</f>
        <v/>
      </c>
      <c r="AD22">
        <f>HYPERLINK("https://klasma.github.io/Logging_1864/tillsynsmail/A 45536-2024 tillsynsbegäran mail.docx", "A 45536-2024")</f>
        <v/>
      </c>
    </row>
    <row r="23" ht="15" customHeight="1">
      <c r="A23" t="inlineStr">
        <is>
          <t>A 56179-2024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46228</v>
      </c>
      <c r="F23" t="inlineStr">
        <is>
          <t>ÖREBRO LÄN</t>
        </is>
      </c>
      <c r="G23" t="inlineStr">
        <is>
          <t>LJUSNARSBERG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Vedticka</t>
        </is>
      </c>
      <c r="W23">
        <f>HYPERLINK("https://klasma.github.io/Logging_1864/artfynd/A 56179-2024 artfynd.xlsx", "A 56179-2024")</f>
        <v/>
      </c>
      <c r="X23">
        <f>HYPERLINK("https://klasma.github.io/Logging_1864/kartor/A 56179-2024 karta.png", "A 56179-2024")</f>
        <v/>
      </c>
      <c r="Y23">
        <f>HYPERLINK("https://klasma.github.io/Logging_1864/kartor_geotiff/A 56179-2024 georefererad karta.tif", "A 56179-2024")</f>
        <v/>
      </c>
      <c r="AA23">
        <f>HYPERLINK("https://klasma.github.io/Logging_1864/klagomål/A 56179-2024 FSC-klagomål.docx", "A 56179-2024")</f>
        <v/>
      </c>
      <c r="AB23">
        <f>HYPERLINK("https://klasma.github.io/Logging_1864/klagomålsmail/A 56179-2024 FSC-klagomål mail.docx", "A 56179-2024")</f>
        <v/>
      </c>
      <c r="AC23">
        <f>HYPERLINK("https://klasma.github.io/Logging_1864/tillsyn/A 56179-2024 tillsynsbegäran.docx", "A 56179-2024")</f>
        <v/>
      </c>
      <c r="AD23">
        <f>HYPERLINK("https://klasma.github.io/Logging_1864/tillsynsmail/A 56179-2024 tillsynsbegäran mail.docx", "A 56179-2024")</f>
        <v/>
      </c>
    </row>
    <row r="24" ht="15" customHeight="1">
      <c r="A24" t="inlineStr">
        <is>
          <t>A 39514-2025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45890</v>
      </c>
      <c r="E24" s="1" t="n">
        <v>46228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Nattviol</t>
        </is>
      </c>
      <c r="W24">
        <f>HYPERLINK("https://klasma.github.io/Logging_1864/artfynd/A 39514-2025 artfynd.xlsx", "A 39514-2025")</f>
        <v/>
      </c>
      <c r="X24">
        <f>HYPERLINK("https://klasma.github.io/Logging_1864/kartor/A 39514-2025 karta.png", "A 39514-2025")</f>
        <v/>
      </c>
      <c r="Y24">
        <f>HYPERLINK("https://klasma.github.io/Logging_1864/kartor_geotiff/A 39514-2025 georefererad karta.tif", "A 39514-2025")</f>
        <v/>
      </c>
      <c r="AA24">
        <f>HYPERLINK("https://klasma.github.io/Logging_1864/klagomål/A 39514-2025 FSC-klagomål.docx", "A 39514-2025")</f>
        <v/>
      </c>
      <c r="AB24">
        <f>HYPERLINK("https://klasma.github.io/Logging_1864/klagomålsmail/A 39514-2025 FSC-klagomål mail.docx", "A 39514-2025")</f>
        <v/>
      </c>
      <c r="AC24">
        <f>HYPERLINK("https://klasma.github.io/Logging_1864/tillsyn/A 39514-2025 tillsynsbegäran.docx", "A 39514-2025")</f>
        <v/>
      </c>
      <c r="AD24">
        <f>HYPERLINK("https://klasma.github.io/Logging_1864/tillsynsmail/A 39514-2025 tillsynsbegäran mail.docx", "A 39514-2025")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46228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46228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46228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46228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46228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24348-2026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46228</v>
      </c>
      <c r="F30" t="inlineStr">
        <is>
          <t>ÖREBRO LÄN</t>
        </is>
      </c>
      <c r="G30" t="inlineStr">
        <is>
          <t>LJUSNARSBERG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HYPERLINK("https://klasma.github.io/Logging_1864/artfynd/A 24348-2026 artfynd.xlsx", "A 24348-2026")</f>
        <v/>
      </c>
      <c r="X30">
        <f>HYPERLINK("https://klasma.github.io/Logging_1864/kartor/A 24348-2026 karta.png", "A 24348-2026")</f>
        <v/>
      </c>
      <c r="Y30">
        <f>HYPERLINK("https://klasma.github.io/Logging_1864/kartor_geotiff/A 24348-2026 georefererad karta.tif", "A 24348-2026")</f>
        <v/>
      </c>
      <c r="AA30">
        <f>HYPERLINK("https://klasma.github.io/Logging_1864/klagomål/A 24348-2026 FSC-klagomål.docx", "A 24348-2026")</f>
        <v/>
      </c>
      <c r="AB30">
        <f>HYPERLINK("https://klasma.github.io/Logging_1864/klagomålsmail/A 24348-2026 FSC-klagomål mail.docx", "A 24348-2026")</f>
        <v/>
      </c>
      <c r="AC30">
        <f>HYPERLINK("https://klasma.github.io/Logging_1864/tillsyn/A 24348-2026 tillsynsbegäran.docx", "A 24348-2026")</f>
        <v/>
      </c>
      <c r="AD30">
        <f>HYPERLINK("https://klasma.github.io/Logging_1864/tillsynsmail/A 24348-2026 tillsynsbegäran mail.docx", "A 24348-2026")</f>
        <v/>
      </c>
      <c r="AE30">
        <f>HYPERLINK("https://klasma.github.io/Logging_1864/fåglar/A 24348-2026 prioriterade fågelarter.docx", "A 24348-2026")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46228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HYPERLINK("https://klasma.github.io/Logging_1864/artfynd/A 24299-2026 artfynd.xlsx", "A 24299-2026")</f>
        <v/>
      </c>
      <c r="X31">
        <f>HYPERLINK("https://klasma.github.io/Logging_1864/kartor/A 24299-2026 karta.png", "A 24299-2026")</f>
        <v/>
      </c>
      <c r="Y31">
        <f>HYPERLINK("https://klasma.github.io/Logging_1864/kartor_geotiff/A 24299-2026 georefererad karta.tif", "A 24299-2026")</f>
        <v/>
      </c>
      <c r="AA31">
        <f>HYPERLINK("https://klasma.github.io/Logging_1864/klagomål/A 24299-2026 FSC-klagomål.docx", "A 24299-2026")</f>
        <v/>
      </c>
      <c r="AB31">
        <f>HYPERLINK("https://klasma.github.io/Logging_1864/klagomålsmail/A 24299-2026 FSC-klagomål mail.docx", "A 24299-2026")</f>
        <v/>
      </c>
      <c r="AC31">
        <f>HYPERLINK("https://klasma.github.io/Logging_1864/tillsyn/A 24299-2026 tillsynsbegäran.docx", "A 24299-2026")</f>
        <v/>
      </c>
      <c r="AD31">
        <f>HYPERLINK("https://klasma.github.io/Logging_1864/tillsynsmail/A 24299-2026 tillsynsbegäran mail.docx", "A 24299-2026")</f>
        <v/>
      </c>
      <c r="AE31">
        <f>HYPERLINK("https://klasma.github.io/Logging_1864/fåglar/A 24299-2026 prioriterade fågelarter.docx", "A 24299-2026")</f>
        <v/>
      </c>
    </row>
    <row r="32" ht="15" customHeight="1">
      <c r="A32" t="inlineStr">
        <is>
          <t>A 20797-2022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44701</v>
      </c>
      <c r="E32" s="1" t="n">
        <v>46228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1.6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HYPERLINK("https://klasma.github.io/Logging_1864/artfynd/A 20797-2022 artfynd.xlsx", "A 20797-2022")</f>
        <v/>
      </c>
      <c r="X32">
        <f>HYPERLINK("https://klasma.github.io/Logging_1864/kartor/A 20797-2022 karta.png", "A 20797-2022")</f>
        <v/>
      </c>
      <c r="Y32">
        <f>HYPERLINK("https://klasma.github.io/Logging_1864/kartor_geotiff/A 20797-2022 georefererad karta.tif", "A 20797-2022")</f>
        <v/>
      </c>
      <c r="AA32">
        <f>HYPERLINK("https://klasma.github.io/Logging_1864/klagomål/A 20797-2022 FSC-klagomål.docx", "A 20797-2022")</f>
        <v/>
      </c>
      <c r="AB32">
        <f>HYPERLINK("https://klasma.github.io/Logging_1864/klagomålsmail/A 20797-2022 FSC-klagomål mail.docx", "A 20797-2022")</f>
        <v/>
      </c>
      <c r="AC32">
        <f>HYPERLINK("https://klasma.github.io/Logging_1864/tillsyn/A 20797-2022 tillsynsbegäran.docx", "A 20797-2022")</f>
        <v/>
      </c>
      <c r="AD32">
        <f>HYPERLINK("https://klasma.github.io/Logging_1864/tillsynsmail/A 20797-2022 tillsynsbegäran mail.docx", "A 20797-2022")</f>
        <v/>
      </c>
    </row>
    <row r="33" ht="15" customHeight="1">
      <c r="A33" t="inlineStr">
        <is>
          <t>A 39095-2022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46228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HYPERLINK("https://klasma.github.io/Logging_1864/artfynd/A 39095-2022 artfynd.xlsx", "A 39095-2022")</f>
        <v/>
      </c>
      <c r="X33">
        <f>HYPERLINK("https://klasma.github.io/Logging_1864/kartor/A 39095-2022 karta.png", "A 39095-2022")</f>
        <v/>
      </c>
      <c r="Y33">
        <f>HYPERLINK("https://klasma.github.io/Logging_1864/kartor_geotiff/A 39095-2022 georefererad karta.tif", "A 39095-2022")</f>
        <v/>
      </c>
      <c r="AA33">
        <f>HYPERLINK("https://klasma.github.io/Logging_1864/klagomål/A 39095-2022 FSC-klagomål.docx", "A 39095-2022")</f>
        <v/>
      </c>
      <c r="AB33">
        <f>HYPERLINK("https://klasma.github.io/Logging_1864/klagomålsmail/A 39095-2022 FSC-klagomål mail.docx", "A 39095-2022")</f>
        <v/>
      </c>
      <c r="AC33">
        <f>HYPERLINK("https://klasma.github.io/Logging_1864/tillsyn/A 39095-2022 tillsynsbegäran.docx", "A 39095-2022")</f>
        <v/>
      </c>
      <c r="AD33">
        <f>HYPERLINK("https://klasma.github.io/Logging_1864/tillsynsmail/A 39095-2022 tillsynsbegäran mail.docx", "A 39095-2022")</f>
        <v/>
      </c>
    </row>
    <row r="34" ht="15" customHeight="1">
      <c r="A34" t="inlineStr">
        <is>
          <t>S 3758-2024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45555</v>
      </c>
      <c r="E34" s="1" t="n">
        <v>46228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14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Bårdlav</t>
        </is>
      </c>
      <c r="W34">
        <f>HYPERLINK("https://klasma.github.io/Logging_1864/artfynd/S 3758-2024 artfynd.xlsx", "S 3758-2024")</f>
        <v/>
      </c>
      <c r="X34">
        <f>HYPERLINK("https://klasma.github.io/Logging_1864/kartor/S 3758-2024 karta.png", "S 3758-2024")</f>
        <v/>
      </c>
      <c r="Y34">
        <f>HYPERLINK("https://klasma.github.io/Logging_1864/kartor_geotiff/S 3758-2024 georefererad karta.tif", "S 3758-2024")</f>
        <v/>
      </c>
      <c r="AA34">
        <f>HYPERLINK("https://klasma.github.io/Logging_1864/klagomål/S 3758-2024 FSC-klagomål.docx", "S 3758-2024")</f>
        <v/>
      </c>
      <c r="AB34">
        <f>HYPERLINK("https://klasma.github.io/Logging_1864/klagomålsmail/S 3758-2024 FSC-klagomål mail.docx", "S 3758-2024")</f>
        <v/>
      </c>
      <c r="AC34">
        <f>HYPERLINK("https://klasma.github.io/Logging_1864/tillsyn/S 3758-2024 tillsynsbegäran.docx", "S 3758-2024")</f>
        <v/>
      </c>
      <c r="AD34">
        <f>HYPERLINK("https://klasma.github.io/Logging_1864/tillsynsmail/S 3758-2024 tillsynsbegäran mail.docx", "S 3758-2024")</f>
        <v/>
      </c>
    </row>
    <row r="35" ht="15" customHeight="1">
      <c r="A35" t="inlineStr">
        <is>
          <t>A 64400-2021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46228</v>
      </c>
      <c r="F35" t="inlineStr">
        <is>
          <t>ÖREBRO LÄN</t>
        </is>
      </c>
      <c r="G35" t="inlineStr">
        <is>
          <t>LJUSNARSBERG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44858-2021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44438</v>
      </c>
      <c r="E36" s="1" t="n">
        <v>46228</v>
      </c>
      <c r="F36" t="inlineStr">
        <is>
          <t>ÖREBRO LÄN</t>
        </is>
      </c>
      <c r="G36" t="inlineStr">
        <is>
          <t>LJUSNARSBERG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45859-2021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46228</v>
      </c>
      <c r="F37" t="inlineStr">
        <is>
          <t>ÖREBRO LÄN</t>
        </is>
      </c>
      <c r="G37" t="inlineStr">
        <is>
          <t>LJUSNARSBERG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72157-2021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44544</v>
      </c>
      <c r="E38" s="1" t="n">
        <v>46228</v>
      </c>
      <c r="F38" t="inlineStr">
        <is>
          <t>ÖREBRO LÄN</t>
        </is>
      </c>
      <c r="G38" t="inlineStr">
        <is>
          <t>LJUSNARSBERG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64978-2021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44513</v>
      </c>
      <c r="E39" s="1" t="n">
        <v>46228</v>
      </c>
      <c r="F39" t="inlineStr">
        <is>
          <t>ÖREBRO LÄN</t>
        </is>
      </c>
      <c r="G39" t="inlineStr">
        <is>
          <t>LJUSNARSBERG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46228</v>
      </c>
      <c r="F40" t="inlineStr">
        <is>
          <t>ÖREBRO LÄN</t>
        </is>
      </c>
      <c r="G40" t="inlineStr">
        <is>
          <t>LJUSNARSBERG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46228</v>
      </c>
      <c r="F41" t="inlineStr">
        <is>
          <t>ÖREBRO LÄN</t>
        </is>
      </c>
      <c r="G41" t="inlineStr">
        <is>
          <t>LJUSNARSBERG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44293-2021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46228</v>
      </c>
      <c r="F42" t="inlineStr">
        <is>
          <t>ÖREBRO LÄN</t>
        </is>
      </c>
      <c r="G42" t="inlineStr">
        <is>
          <t>LJUSNARSBERG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39187-2021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44412</v>
      </c>
      <c r="E43" s="1" t="n">
        <v>46228</v>
      </c>
      <c r="F43" t="inlineStr">
        <is>
          <t>ÖREBRO LÄN</t>
        </is>
      </c>
      <c r="G43" t="inlineStr">
        <is>
          <t>LJUSNARSBERG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46228</v>
      </c>
      <c r="F44" t="inlineStr">
        <is>
          <t>ÖREBRO LÄN</t>
        </is>
      </c>
      <c r="G44" t="inlineStr">
        <is>
          <t>LJUSNARSBERG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25773-2022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44733</v>
      </c>
      <c r="E45" s="1" t="n">
        <v>46228</v>
      </c>
      <c r="F45" t="inlineStr">
        <is>
          <t>ÖREBRO LÄN</t>
        </is>
      </c>
      <c r="G45" t="inlineStr">
        <is>
          <t>LJUSNARSBERG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46228</v>
      </c>
      <c r="F46" t="inlineStr">
        <is>
          <t>ÖREBRO LÄN</t>
        </is>
      </c>
      <c r="G46" t="inlineStr">
        <is>
          <t>LJUSNARSBERG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44690</v>
      </c>
      <c r="E47" s="1" t="n">
        <v>46228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50552-2022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44866</v>
      </c>
      <c r="E48" s="1" t="n">
        <v>46228</v>
      </c>
      <c r="F48" t="inlineStr">
        <is>
          <t>ÖREBRO LÄN</t>
        </is>
      </c>
      <c r="G48" t="inlineStr">
        <is>
          <t>LJUSNARSBERG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44282-2021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46228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46228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44778</v>
      </c>
      <c r="E51" s="1" t="n">
        <v>46228</v>
      </c>
      <c r="F51" t="inlineStr">
        <is>
          <t>ÖREBRO LÄN</t>
        </is>
      </c>
      <c r="G51" t="inlineStr">
        <is>
          <t>LJUSNARSBERG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46228</v>
      </c>
      <c r="F52" t="inlineStr">
        <is>
          <t>ÖREBRO LÄN</t>
        </is>
      </c>
      <c r="G52" t="inlineStr">
        <is>
          <t>LJUSNARSBERG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61794-2024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45649</v>
      </c>
      <c r="E53" s="1" t="n">
        <v>46228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25574-2023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45089</v>
      </c>
      <c r="E54" s="1" t="n">
        <v>46228</v>
      </c>
      <c r="F54" t="inlineStr">
        <is>
          <t>ÖREBRO LÄN</t>
        </is>
      </c>
      <c r="G54" t="inlineStr">
        <is>
          <t>LJUSNARSBERG</t>
        </is>
      </c>
      <c r="H54" t="inlineStr">
        <is>
          <t>Sveaskog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46228</v>
      </c>
      <c r="F55" t="inlineStr">
        <is>
          <t>ÖREBRO LÄN</t>
        </is>
      </c>
      <c r="G55" t="inlineStr">
        <is>
          <t>LJUSNARSBERG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46228</v>
      </c>
      <c r="F56" t="inlineStr">
        <is>
          <t>ÖREBRO LÄN</t>
        </is>
      </c>
      <c r="G56" t="inlineStr">
        <is>
          <t>LJUSNARSBERG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62810-2021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46228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45583</v>
      </c>
      <c r="E58" s="1" t="n">
        <v>46228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46228</v>
      </c>
      <c r="F59" t="inlineStr">
        <is>
          <t>ÖREBRO LÄN</t>
        </is>
      </c>
      <c r="G59" t="inlineStr">
        <is>
          <t>LJUSNARSBERG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46228</v>
      </c>
      <c r="F60" t="inlineStr">
        <is>
          <t>ÖREBRO LÄN</t>
        </is>
      </c>
      <c r="G60" t="inlineStr">
        <is>
          <t>LJUSNARSBERG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61580-2023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45265</v>
      </c>
      <c r="E61" s="1" t="n">
        <v>46228</v>
      </c>
      <c r="F61" t="inlineStr">
        <is>
          <t>ÖREBRO LÄN</t>
        </is>
      </c>
      <c r="G61" t="inlineStr">
        <is>
          <t>LJUSNARSBERG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62843-2021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46228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46228</v>
      </c>
      <c r="F63" t="inlineStr">
        <is>
          <t>ÖREBRO LÄN</t>
        </is>
      </c>
      <c r="G63" t="inlineStr">
        <is>
          <t>LJUSNARSBERG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46228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12489-2023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44999</v>
      </c>
      <c r="E65" s="1" t="n">
        <v>46228</v>
      </c>
      <c r="F65" t="inlineStr">
        <is>
          <t>ÖREBRO LÄN</t>
        </is>
      </c>
      <c r="G65" t="inlineStr">
        <is>
          <t>LJUSNARSBERG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17933-2024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45419</v>
      </c>
      <c r="E66" s="1" t="n">
        <v>46228</v>
      </c>
      <c r="F66" t="inlineStr">
        <is>
          <t>ÖREBRO LÄN</t>
        </is>
      </c>
      <c r="G66" t="inlineStr">
        <is>
          <t>LJUSNARSBERG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46228</v>
      </c>
      <c r="F67" t="inlineStr">
        <is>
          <t>ÖREBRO LÄN</t>
        </is>
      </c>
      <c r="G67" t="inlineStr">
        <is>
          <t>LJUSNARSBERG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59627-2024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46228</v>
      </c>
      <c r="F68" t="inlineStr">
        <is>
          <t>ÖREBRO LÄN</t>
        </is>
      </c>
      <c r="G68" t="inlineStr">
        <is>
          <t>LJUSNARSBERG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46228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45574</v>
      </c>
      <c r="E70" s="1" t="n">
        <v>46228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25671-2024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45463</v>
      </c>
      <c r="E71" s="1" t="n">
        <v>46228</v>
      </c>
      <c r="F71" t="inlineStr">
        <is>
          <t>ÖREBRO LÄN</t>
        </is>
      </c>
      <c r="G71" t="inlineStr">
        <is>
          <t>LJUSNARSBERG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37148-2023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46228</v>
      </c>
      <c r="F72" t="inlineStr">
        <is>
          <t>ÖREBRO LÄN</t>
        </is>
      </c>
      <c r="G72" t="inlineStr">
        <is>
          <t>LJUSNARSBERG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22887-2024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45448</v>
      </c>
      <c r="E73" s="1" t="n">
        <v>46228</v>
      </c>
      <c r="F73" t="inlineStr">
        <is>
          <t>ÖREBRO LÄN</t>
        </is>
      </c>
      <c r="G73" t="inlineStr">
        <is>
          <t>LJUSNARSBERG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45575</v>
      </c>
      <c r="E74" s="1" t="n">
        <v>46228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45608</v>
      </c>
      <c r="E75" s="1" t="n">
        <v>46228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46228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45145</v>
      </c>
      <c r="E77" s="1" t="n">
        <v>46228</v>
      </c>
      <c r="F77" t="inlineStr">
        <is>
          <t>ÖREBRO LÄN</t>
        </is>
      </c>
      <c r="G77" t="inlineStr">
        <is>
          <t>LJUSNARSBERG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23346-2022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46228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46228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46228</v>
      </c>
      <c r="F80" t="inlineStr">
        <is>
          <t>ÖREBRO LÄN</t>
        </is>
      </c>
      <c r="G80" t="inlineStr">
        <is>
          <t>LJUSNARSBERG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46228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17.8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46228</v>
      </c>
      <c r="F82" t="inlineStr">
        <is>
          <t>ÖREBRO LÄN</t>
        </is>
      </c>
      <c r="G82" t="inlineStr">
        <is>
          <t>LJUSNARSBERG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46228</v>
      </c>
      <c r="F83" t="inlineStr">
        <is>
          <t>ÖREBRO LÄN</t>
        </is>
      </c>
      <c r="G83" t="inlineStr">
        <is>
          <t>LJUSNARSBERG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46228</v>
      </c>
      <c r="F84" t="inlineStr">
        <is>
          <t>ÖREBRO LÄN</t>
        </is>
      </c>
      <c r="G84" t="inlineStr">
        <is>
          <t>LJUSNARSBERG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46228</v>
      </c>
      <c r="F85" t="inlineStr">
        <is>
          <t>ÖREBRO LÄN</t>
        </is>
      </c>
      <c r="G85" t="inlineStr">
        <is>
          <t>LJUSNARSBERG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46228</v>
      </c>
      <c r="F86" t="inlineStr">
        <is>
          <t>ÖREBRO LÄN</t>
        </is>
      </c>
      <c r="G86" t="inlineStr">
        <is>
          <t>LJUSNARSBERG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40477-2025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46228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40477-2025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45895</v>
      </c>
      <c r="E88" s="1" t="n">
        <v>46228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46228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40852-2025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46228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46228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46228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46228</v>
      </c>
      <c r="F93" t="inlineStr">
        <is>
          <t>ÖREBRO LÄN</t>
        </is>
      </c>
      <c r="G93" t="inlineStr">
        <is>
          <t>LJUSNARSBERG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46228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36108-2024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45533</v>
      </c>
      <c r="E95" s="1" t="n">
        <v>46228</v>
      </c>
      <c r="F95" t="inlineStr">
        <is>
          <t>ÖREBRO LÄN</t>
        </is>
      </c>
      <c r="G95" t="inlineStr">
        <is>
          <t>LJUSNARSBERG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59630-2024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46228</v>
      </c>
      <c r="F96" t="inlineStr">
        <is>
          <t>ÖREBRO LÄN</t>
        </is>
      </c>
      <c r="G96" t="inlineStr">
        <is>
          <t>LJUSNARSBERG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46228</v>
      </c>
      <c r="F97" t="inlineStr">
        <is>
          <t>ÖREBRO LÄN</t>
        </is>
      </c>
      <c r="G97" t="inlineStr">
        <is>
          <t>LJUSNARSBERG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46228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46228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46228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46228</v>
      </c>
      <c r="F101" t="inlineStr">
        <is>
          <t>ÖREBRO LÄN</t>
        </is>
      </c>
      <c r="G101" t="inlineStr">
        <is>
          <t>LJUSNARSBERG</t>
        </is>
      </c>
      <c r="I101" t="n">
        <v>17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46228</v>
      </c>
      <c r="F102" t="inlineStr">
        <is>
          <t>ÖREBRO LÄN</t>
        </is>
      </c>
      <c r="G102" t="inlineStr">
        <is>
          <t>LJUSNARSBERG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46228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44479-2025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45916</v>
      </c>
      <c r="E104" s="1" t="n">
        <v>46228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46228</v>
      </c>
      <c r="F105" t="inlineStr">
        <is>
          <t>ÖREBRO LÄN</t>
        </is>
      </c>
      <c r="G105" t="inlineStr">
        <is>
          <t>LJUSNARSBERG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19936-2026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46228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45925</v>
      </c>
      <c r="E107" s="1" t="n">
        <v>46228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46228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46228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46228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59497-2024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45638</v>
      </c>
      <c r="E111" s="1" t="n">
        <v>46228</v>
      </c>
      <c r="F111" t="inlineStr">
        <is>
          <t>ÖREBRO LÄN</t>
        </is>
      </c>
      <c r="G111" t="inlineStr">
        <is>
          <t>LJUSNARSBERG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45124</v>
      </c>
      <c r="E112" s="1" t="n">
        <v>46228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46228</v>
      </c>
      <c r="F113" t="inlineStr">
        <is>
          <t>ÖREBRO LÄN</t>
        </is>
      </c>
      <c r="G113" t="inlineStr">
        <is>
          <t>LJUSNARSBERG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46228</v>
      </c>
      <c r="F114" t="inlineStr">
        <is>
          <t>ÖREBRO LÄN</t>
        </is>
      </c>
      <c r="G114" t="inlineStr">
        <is>
          <t>LJUSNARSBERG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46228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45934</v>
      </c>
      <c r="E116" s="1" t="n">
        <v>46228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46228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46228</v>
      </c>
      <c r="F118" t="inlineStr">
        <is>
          <t>ÖREBRO LÄN</t>
        </is>
      </c>
      <c r="G118" t="inlineStr">
        <is>
          <t>LJUSNARSBERG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46228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45936</v>
      </c>
      <c r="E120" s="1" t="n">
        <v>46228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48501-2025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46228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45934</v>
      </c>
      <c r="E122" s="1" t="n">
        <v>46228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50865-2025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45946</v>
      </c>
      <c r="E123" s="1" t="n">
        <v>46228</v>
      </c>
      <c r="F123" t="inlineStr">
        <is>
          <t>ÖREBRO LÄN</t>
        </is>
      </c>
      <c r="G123" t="inlineStr">
        <is>
          <t>LJUSNARSBERG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46228</v>
      </c>
      <c r="F124" t="inlineStr">
        <is>
          <t>ÖREBRO LÄN</t>
        </is>
      </c>
      <c r="G124" t="inlineStr">
        <is>
          <t>LJUSNARSBERG</t>
        </is>
      </c>
      <c r="I124" t="n">
        <v>10.8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46228</v>
      </c>
      <c r="F125" t="inlineStr">
        <is>
          <t>ÖREBRO LÄN</t>
        </is>
      </c>
      <c r="G125" t="inlineStr">
        <is>
          <t>LJUSNARSBERG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46228</v>
      </c>
      <c r="F126" t="inlineStr">
        <is>
          <t>ÖREBRO LÄN</t>
        </is>
      </c>
      <c r="G126" t="inlineStr">
        <is>
          <t>LJUSNARSBERG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46228</v>
      </c>
      <c r="F127" t="inlineStr">
        <is>
          <t>ÖREBRO LÄN</t>
        </is>
      </c>
      <c r="G127" t="inlineStr">
        <is>
          <t>LJUSNARSBERG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46146</v>
      </c>
      <c r="E128" s="1" t="n">
        <v>46228</v>
      </c>
      <c r="F128" t="inlineStr">
        <is>
          <t>ÖREBRO LÄN</t>
        </is>
      </c>
      <c r="G128" t="inlineStr">
        <is>
          <t>LJUSNARSBERG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46228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46228</v>
      </c>
      <c r="F130" t="inlineStr">
        <is>
          <t>ÖREBRO LÄN</t>
        </is>
      </c>
      <c r="G130" t="inlineStr">
        <is>
          <t>LJUSNARSBERG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46228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44565</v>
      </c>
      <c r="E132" s="1" t="n">
        <v>46228</v>
      </c>
      <c r="F132" t="inlineStr">
        <is>
          <t>ÖREBRO LÄN</t>
        </is>
      </c>
      <c r="G132" t="inlineStr">
        <is>
          <t>LJUSNARSBERG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46228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46228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46228</v>
      </c>
      <c r="F135" t="inlineStr">
        <is>
          <t>ÖREBRO LÄN</t>
        </is>
      </c>
      <c r="G135" t="inlineStr">
        <is>
          <t>LJUSNARSBERG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46228</v>
      </c>
      <c r="F136" t="inlineStr">
        <is>
          <t>ÖREBRO LÄN</t>
        </is>
      </c>
      <c r="G136" t="inlineStr">
        <is>
          <t>LJUSNARSBERG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45581</v>
      </c>
      <c r="E137" s="1" t="n">
        <v>46228</v>
      </c>
      <c r="F137" t="inlineStr">
        <is>
          <t>ÖREBRO LÄN</t>
        </is>
      </c>
      <c r="G137" t="inlineStr">
        <is>
          <t>LJUSNARSBERG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44564</v>
      </c>
      <c r="E138" s="1" t="n">
        <v>46228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46228</v>
      </c>
      <c r="F139" t="inlineStr">
        <is>
          <t>ÖREBRO LÄN</t>
        </is>
      </c>
      <c r="G139" t="inlineStr">
        <is>
          <t>LJUSNARSBERG</t>
        </is>
      </c>
      <c r="I139" t="n">
        <v>14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46228</v>
      </c>
      <c r="F140" t="inlineStr">
        <is>
          <t>ÖREBRO LÄN</t>
        </is>
      </c>
      <c r="G140" t="inlineStr">
        <is>
          <t>LJUSNARSBERG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46228</v>
      </c>
      <c r="F141" t="inlineStr">
        <is>
          <t>ÖREBRO LÄN</t>
        </is>
      </c>
      <c r="G141" t="inlineStr">
        <is>
          <t>LJUSNARSBERG</t>
        </is>
      </c>
      <c r="H141" t="inlineStr">
        <is>
          <t>Kommuner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46228</v>
      </c>
      <c r="F142" t="inlineStr">
        <is>
          <t>ÖREBRO LÄN</t>
        </is>
      </c>
      <c r="G142" t="inlineStr">
        <is>
          <t>LJUSNARSBERG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46228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46228</v>
      </c>
      <c r="F144" t="inlineStr">
        <is>
          <t>ÖREBRO LÄN</t>
        </is>
      </c>
      <c r="G144" t="inlineStr">
        <is>
          <t>LJUSNARSBERG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46228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46228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46228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46228</v>
      </c>
      <c r="F148" t="inlineStr">
        <is>
          <t>ÖREBRO LÄN</t>
        </is>
      </c>
      <c r="G148" t="inlineStr">
        <is>
          <t>LJUSNARSBERG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46228</v>
      </c>
      <c r="F149" t="inlineStr">
        <is>
          <t>ÖREBRO LÄN</t>
        </is>
      </c>
      <c r="G149" t="inlineStr">
        <is>
          <t>LJUSNARSBERG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46228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46163</v>
      </c>
      <c r="E151" s="1" t="n">
        <v>46228</v>
      </c>
      <c r="F151" t="inlineStr">
        <is>
          <t>ÖREBRO LÄN</t>
        </is>
      </c>
      <c r="G151" t="inlineStr">
        <is>
          <t>LJUSNARSBERG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46049</v>
      </c>
      <c r="E152" s="1" t="n">
        <v>46228</v>
      </c>
      <c r="F152" t="inlineStr">
        <is>
          <t>ÖREBRO LÄN</t>
        </is>
      </c>
      <c r="G152" t="inlineStr">
        <is>
          <t>LJUSNARSBERG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45394</v>
      </c>
      <c r="E153" s="1" t="n">
        <v>46228</v>
      </c>
      <c r="F153" t="inlineStr">
        <is>
          <t>ÖREBRO LÄN</t>
        </is>
      </c>
      <c r="G153" t="inlineStr">
        <is>
          <t>LJUSNARSBERG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45239</v>
      </c>
      <c r="E154" s="1" t="n">
        <v>46228</v>
      </c>
      <c r="F154" t="inlineStr">
        <is>
          <t>ÖREBRO LÄN</t>
        </is>
      </c>
      <c r="G154" t="inlineStr">
        <is>
          <t>LJUSNARSBERG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46228</v>
      </c>
      <c r="F155" t="inlineStr">
        <is>
          <t>ÖREBRO LÄN</t>
        </is>
      </c>
      <c r="G155" t="inlineStr">
        <is>
          <t>LJUSNARSBERG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46167</v>
      </c>
      <c r="E156" s="1" t="n">
        <v>46228</v>
      </c>
      <c r="F156" t="inlineStr">
        <is>
          <t>ÖREBRO LÄN</t>
        </is>
      </c>
      <c r="G156" t="inlineStr">
        <is>
          <t>LJUSNARSBERG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46228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24350-2026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46167</v>
      </c>
      <c r="E158" s="1" t="n">
        <v>46228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44690</v>
      </c>
      <c r="E159" s="1" t="n">
        <v>46228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46228</v>
      </c>
      <c r="F160" t="inlineStr">
        <is>
          <t>ÖREBRO LÄN</t>
        </is>
      </c>
      <c r="G160" t="inlineStr">
        <is>
          <t>LJUSNARSBERG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45578</v>
      </c>
      <c r="E161" s="1" t="n">
        <v>46228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45578</v>
      </c>
      <c r="E162" s="1" t="n">
        <v>46228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46228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46228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46133</v>
      </c>
      <c r="E165" s="1" t="n">
        <v>46228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44690</v>
      </c>
      <c r="E166" s="1" t="n">
        <v>46228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44788-2021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44438</v>
      </c>
      <c r="E167" s="1" t="n">
        <v>46228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45111</v>
      </c>
      <c r="E168" s="1" t="n">
        <v>46228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12.8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46183</v>
      </c>
      <c r="E169" s="1" t="n">
        <v>46228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46185</v>
      </c>
      <c r="E170" s="1" t="n">
        <v>46228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14.5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44916</v>
      </c>
      <c r="E171" s="1" t="n">
        <v>46228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45347</v>
      </c>
      <c r="E172" s="1" t="n">
        <v>46228</v>
      </c>
      <c r="F172" t="inlineStr">
        <is>
          <t>ÖREBRO LÄN</t>
        </is>
      </c>
      <c r="G172" t="inlineStr">
        <is>
          <t>LJUSNARSBERG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45030</v>
      </c>
      <c r="E173" s="1" t="n">
        <v>46228</v>
      </c>
      <c r="F173" t="inlineStr">
        <is>
          <t>ÖREBRO LÄN</t>
        </is>
      </c>
      <c r="G173" t="inlineStr">
        <is>
          <t>LJUSNARSBERG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57090-2022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46228</v>
      </c>
      <c r="F174" t="inlineStr">
        <is>
          <t>ÖREBRO LÄN</t>
        </is>
      </c>
      <c r="G174" t="inlineStr">
        <is>
          <t>LJUSNARSBERG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44720</v>
      </c>
      <c r="E175" s="1" t="n">
        <v>46228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46228</v>
      </c>
      <c r="F176" t="inlineStr">
        <is>
          <t>ÖREBRO LÄN</t>
        </is>
      </c>
      <c r="G176" t="inlineStr">
        <is>
          <t>LJUSNARSBERG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44468</v>
      </c>
      <c r="E177" s="1" t="n">
        <v>46228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7903-2022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44607</v>
      </c>
      <c r="E178" s="1" t="n">
        <v>46228</v>
      </c>
      <c r="F178" t="inlineStr">
        <is>
          <t>ÖREBRO LÄN</t>
        </is>
      </c>
      <c r="G178" t="inlineStr">
        <is>
          <t>LJUSNARSBERG</t>
        </is>
      </c>
      <c r="H178" t="inlineStr">
        <is>
          <t>Kyrkan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46228</v>
      </c>
      <c r="F179" t="inlineStr">
        <is>
          <t>ÖREBRO LÄN</t>
        </is>
      </c>
      <c r="G179" t="inlineStr">
        <is>
          <t>LJUSNARSBERG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46228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46228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46228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44694</v>
      </c>
      <c r="E183" s="1" t="n">
        <v>46228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46801-2024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45583</v>
      </c>
      <c r="E184" s="1" t="n">
        <v>46228</v>
      </c>
      <c r="F184" t="inlineStr">
        <is>
          <t>ÖREBRO LÄN</t>
        </is>
      </c>
      <c r="G184" t="inlineStr">
        <is>
          <t>LJUSNARSBERG</t>
        </is>
      </c>
      <c r="H184" t="inlineStr">
        <is>
          <t>Bergvik skog väst AB</t>
        </is>
      </c>
      <c r="I184" t="n">
        <v>16.8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46228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46228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46228</v>
      </c>
      <c r="F187" t="inlineStr">
        <is>
          <t>ÖREBRO LÄN</t>
        </is>
      </c>
      <c r="G187" t="inlineStr">
        <is>
          <t>LJUSNARSBERG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46228</v>
      </c>
      <c r="F188" t="inlineStr">
        <is>
          <t>ÖREBRO LÄN</t>
        </is>
      </c>
      <c r="G188" t="inlineStr">
        <is>
          <t>LJUSNARSBERG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45387</v>
      </c>
      <c r="E189" s="1" t="n">
        <v>46228</v>
      </c>
      <c r="F189" t="inlineStr">
        <is>
          <t>ÖREBRO LÄN</t>
        </is>
      </c>
      <c r="G189" t="inlineStr">
        <is>
          <t>LJUSNARSBERG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46228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46228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46228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46228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45797</v>
      </c>
      <c r="E194" s="1" t="n">
        <v>46228</v>
      </c>
      <c r="F194" t="inlineStr">
        <is>
          <t>ÖREBRO LÄN</t>
        </is>
      </c>
      <c r="G194" t="inlineStr">
        <is>
          <t>LJUSNARSBERG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45807</v>
      </c>
      <c r="E195" s="1" t="n">
        <v>46228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20673-2025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45776</v>
      </c>
      <c r="E196" s="1" t="n">
        <v>46228</v>
      </c>
      <c r="F196" t="inlineStr">
        <is>
          <t>ÖREBRO LÄN</t>
        </is>
      </c>
      <c r="G196" t="inlineStr">
        <is>
          <t>LJUSNARSBERG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46228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45827</v>
      </c>
      <c r="E198" s="1" t="n">
        <v>46228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46228</v>
      </c>
      <c r="F199" t="inlineStr">
        <is>
          <t>ÖREBRO LÄN</t>
        </is>
      </c>
      <c r="G199" t="inlineStr">
        <is>
          <t>LJUSNARSBERG</t>
        </is>
      </c>
      <c r="H199" t="inlineStr">
        <is>
          <t>Sveaskog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46228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30935-2025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45832</v>
      </c>
      <c r="E201" s="1" t="n">
        <v>46228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46228</v>
      </c>
      <c r="F202" t="inlineStr">
        <is>
          <t>ÖREBRO LÄN</t>
        </is>
      </c>
      <c r="G202" t="inlineStr">
        <is>
          <t>LJUSNARSBERG</t>
        </is>
      </c>
      <c r="H202" t="inlineStr">
        <is>
          <t>Kyrkan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45659</v>
      </c>
      <c r="E203" s="1" t="n">
        <v>46228</v>
      </c>
      <c r="F203" t="inlineStr">
        <is>
          <t>ÖREBRO LÄN</t>
        </is>
      </c>
      <c r="G203" t="inlineStr">
        <is>
          <t>LJUSNARSBERG</t>
        </is>
      </c>
      <c r="I203" t="n">
        <v>6.5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46228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3541-2022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44734</v>
      </c>
      <c r="E205" s="1" t="n">
        <v>46228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10473-2021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44559</v>
      </c>
      <c r="E206" s="1" t="n">
        <v>46228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3528-2023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45205</v>
      </c>
      <c r="E207" s="1" t="n">
        <v>46228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7278-2021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44467</v>
      </c>
      <c r="E208" s="1" t="n">
        <v>46228</v>
      </c>
      <c r="F208" t="inlineStr">
        <is>
          <t>ÖREBRO LÄN</t>
        </is>
      </c>
      <c r="G208" t="inlineStr">
        <is>
          <t>LJUSNARSBERG</t>
        </is>
      </c>
      <c r="H208" t="inlineStr">
        <is>
          <t>Kommuner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410-2022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44585</v>
      </c>
      <c r="E209" s="1" t="n">
        <v>46228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36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4521-2023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45275</v>
      </c>
      <c r="E210" s="1" t="n">
        <v>46228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1099-2022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44615</v>
      </c>
      <c r="E211" s="1" t="n">
        <v>46228</v>
      </c>
      <c r="F211" t="inlineStr">
        <is>
          <t>ÖREBRO LÄN</t>
        </is>
      </c>
      <c r="G211" t="inlineStr">
        <is>
          <t>LJUSNARSBERG</t>
        </is>
      </c>
      <c r="H211" t="inlineStr">
        <is>
          <t>Sveaskog</t>
        </is>
      </c>
      <c r="I211" t="n">
        <v>147.4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7277-2021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44467</v>
      </c>
      <c r="E212" s="1" t="n">
        <v>46228</v>
      </c>
      <c r="F212" t="inlineStr">
        <is>
          <t>ÖREBRO LÄN</t>
        </is>
      </c>
      <c r="G212" t="inlineStr">
        <is>
          <t>LJUSNARSBERG</t>
        </is>
      </c>
      <c r="H212" t="inlineStr">
        <is>
          <t>Kommuner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2836-2023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45167</v>
      </c>
      <c r="E213" s="1" t="n">
        <v>46228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707-2025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45720</v>
      </c>
      <c r="E214" s="1" t="n">
        <v>46228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162.6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1972-2025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45832</v>
      </c>
      <c r="E215" s="1" t="n">
        <v>46228</v>
      </c>
      <c r="F215" t="inlineStr">
        <is>
          <t>ÖREBRO LÄN</t>
        </is>
      </c>
      <c r="G215" t="inlineStr">
        <is>
          <t>LJUSNARSBERG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3578-2025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46010</v>
      </c>
      <c r="E216" s="1" t="n">
        <v>46228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603-2026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46085</v>
      </c>
      <c r="E217" s="1" t="n">
        <v>46228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125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1743-2026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46185</v>
      </c>
      <c r="E218" s="1" t="n">
        <v>46228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1624-2026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46174</v>
      </c>
      <c r="E219" s="1" t="n">
        <v>46228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23.6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2026-07-25T01:49:37Z</dcterms:created>
  <dcterms:modified xmlns:dcterms="http://purl.org/dc/terms/" xmlns:xsi="http://www.w3.org/2001/XMLSchema-instance" xsi:type="dcterms:W3CDTF">2026-07-25T01:49:37Z</dcterms:modified>
</cp:coreProperties>
</file>