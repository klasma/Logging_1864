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45788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45788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45788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45788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45788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45788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45788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45788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45788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45788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45788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45788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45788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45788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45788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45788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45788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45788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45788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45788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9461-2022</t>
        </is>
      </c>
      <c r="B22" s="1" t="n">
        <v>44616</v>
      </c>
      <c r="C22" s="1" t="n">
        <v>45788</v>
      </c>
      <c r="D22" t="inlineStr">
        <is>
          <t>ÖREBRO LÄN</t>
        </is>
      </c>
      <c r="E22" t="inlineStr">
        <is>
          <t>LJUSNARSBERG</t>
        </is>
      </c>
      <c r="G22" t="n">
        <v>17.3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Tvåblad</t>
        </is>
      </c>
      <c r="S22">
        <f>HYPERLINK("https://klasma.github.io/Logging_1864/artfynd/A 9461-2022 artfynd.xlsx", "A 9461-2022")</f>
        <v/>
      </c>
      <c r="T22">
        <f>HYPERLINK("https://klasma.github.io/Logging_1864/kartor/A 9461-2022 karta.png", "A 9461-2022")</f>
        <v/>
      </c>
      <c r="V22">
        <f>HYPERLINK("https://klasma.github.io/Logging_1864/klagomål/A 9461-2022 FSC-klagomål.docx", "A 9461-2022")</f>
        <v/>
      </c>
      <c r="W22">
        <f>HYPERLINK("https://klasma.github.io/Logging_1864/klagomålsmail/A 9461-2022 FSC-klagomål mail.docx", "A 9461-2022")</f>
        <v/>
      </c>
      <c r="X22">
        <f>HYPERLINK("https://klasma.github.io/Logging_1864/tillsyn/A 9461-2022 tillsynsbegäran.docx", "A 9461-2022")</f>
        <v/>
      </c>
      <c r="Y22">
        <f>HYPERLINK("https://klasma.github.io/Logging_1864/tillsynsmail/A 9461-2022 tillsynsbegäran mail.docx", "A 9461-2022")</f>
        <v/>
      </c>
    </row>
    <row r="23" ht="15" customHeight="1">
      <c r="A23" t="inlineStr">
        <is>
          <t>A 37547-2022</t>
        </is>
      </c>
      <c r="B23" s="1" t="n">
        <v>44809</v>
      </c>
      <c r="C23" s="1" t="n">
        <v>45788</v>
      </c>
      <c r="D23" t="inlineStr">
        <is>
          <t>ÖREBRO LÄN</t>
        </is>
      </c>
      <c r="E23" t="inlineStr">
        <is>
          <t>LJUSNARSBERG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HYPERLINK("https://klasma.github.io/Logging_1864/artfynd/A 37547-2022 artfynd.xlsx", "A 37547-2022")</f>
        <v/>
      </c>
      <c r="T23">
        <f>HYPERLINK("https://klasma.github.io/Logging_1864/kartor/A 37547-2022 karta.png", "A 37547-2022")</f>
        <v/>
      </c>
      <c r="V23">
        <f>HYPERLINK("https://klasma.github.io/Logging_1864/klagomål/A 37547-2022 FSC-klagomål.docx", "A 37547-2022")</f>
        <v/>
      </c>
      <c r="W23">
        <f>HYPERLINK("https://klasma.github.io/Logging_1864/klagomålsmail/A 37547-2022 FSC-klagomål mail.docx", "A 37547-2022")</f>
        <v/>
      </c>
      <c r="X23">
        <f>HYPERLINK("https://klasma.github.io/Logging_1864/tillsyn/A 37547-2022 tillsynsbegäran.docx", "A 37547-2022")</f>
        <v/>
      </c>
      <c r="Y23">
        <f>HYPERLINK("https://klasma.github.io/Logging_1864/tillsynsmail/A 37547-2022 tillsynsbegäran mail.docx", "A 37547-2022")</f>
        <v/>
      </c>
    </row>
    <row r="24" ht="15" customHeight="1">
      <c r="A24" t="inlineStr">
        <is>
          <t>A 13233-2023</t>
        </is>
      </c>
      <c r="B24" s="1" t="n">
        <v>45002</v>
      </c>
      <c r="C24" s="1" t="n">
        <v>45788</v>
      </c>
      <c r="D24" t="inlineStr">
        <is>
          <t>ÖREBRO LÄN</t>
        </is>
      </c>
      <c r="E24" t="inlineStr">
        <is>
          <t>LJUSNARSBERG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Tunnvingemätare</t>
        </is>
      </c>
      <c r="S24">
        <f>HYPERLINK("https://klasma.github.io/Logging_1864/artfynd/A 13233-2023 artfynd.xlsx", "A 13233-2023")</f>
        <v/>
      </c>
      <c r="T24">
        <f>HYPERLINK("https://klasma.github.io/Logging_1864/kartor/A 13233-2023 karta.png", "A 13233-2023")</f>
        <v/>
      </c>
      <c r="V24">
        <f>HYPERLINK("https://klasma.github.io/Logging_1864/klagomål/A 13233-2023 FSC-klagomål.docx", "A 13233-2023")</f>
        <v/>
      </c>
      <c r="W24">
        <f>HYPERLINK("https://klasma.github.io/Logging_1864/klagomålsmail/A 13233-2023 FSC-klagomål mail.docx", "A 13233-2023")</f>
        <v/>
      </c>
      <c r="X24">
        <f>HYPERLINK("https://klasma.github.io/Logging_1864/tillsyn/A 13233-2023 tillsynsbegäran.docx", "A 13233-2023")</f>
        <v/>
      </c>
      <c r="Y24">
        <f>HYPERLINK("https://klasma.github.io/Logging_1864/tillsynsmail/A 13233-2023 tillsynsbegäran mail.docx", "A 13233-2023")</f>
        <v/>
      </c>
    </row>
    <row r="25" ht="15" customHeight="1">
      <c r="A25" t="inlineStr">
        <is>
          <t>A 34042-2023</t>
        </is>
      </c>
      <c r="B25" s="1" t="n">
        <v>45125</v>
      </c>
      <c r="C25" s="1" t="n">
        <v>45788</v>
      </c>
      <c r="D25" t="inlineStr">
        <is>
          <t>ÖREBRO LÄN</t>
        </is>
      </c>
      <c r="E25" t="inlineStr">
        <is>
          <t>LJUSNARSBERG</t>
        </is>
      </c>
      <c r="G25" t="n">
        <v>4.6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HYPERLINK("https://klasma.github.io/Logging_1864/artfynd/A 34042-2023 artfynd.xlsx", "A 34042-2023")</f>
        <v/>
      </c>
      <c r="T25">
        <f>HYPERLINK("https://klasma.github.io/Logging_1864/kartor/A 34042-2023 karta.png", "A 34042-2023")</f>
        <v/>
      </c>
      <c r="V25">
        <f>HYPERLINK("https://klasma.github.io/Logging_1864/klagomål/A 34042-2023 FSC-klagomål.docx", "A 34042-2023")</f>
        <v/>
      </c>
      <c r="W25">
        <f>HYPERLINK("https://klasma.github.io/Logging_1864/klagomålsmail/A 34042-2023 FSC-klagomål mail.docx", "A 34042-2023")</f>
        <v/>
      </c>
      <c r="X25">
        <f>HYPERLINK("https://klasma.github.io/Logging_1864/tillsyn/A 34042-2023 tillsynsbegäran.docx", "A 34042-2023")</f>
        <v/>
      </c>
      <c r="Y25">
        <f>HYPERLINK("https://klasma.github.io/Logging_1864/tillsynsmail/A 34042-2023 tillsynsbegäran mail.docx", "A 34042-2023")</f>
        <v/>
      </c>
    </row>
    <row r="26" ht="15" customHeight="1">
      <c r="A26" t="inlineStr">
        <is>
          <t>A 40812-2023</t>
        </is>
      </c>
      <c r="B26" s="1" t="n">
        <v>45171</v>
      </c>
      <c r="C26" s="1" t="n">
        <v>45788</v>
      </c>
      <c r="D26" t="inlineStr">
        <is>
          <t>ÖREBRO LÄN</t>
        </is>
      </c>
      <c r="E26" t="inlineStr">
        <is>
          <t>LJUSNARSBERG</t>
        </is>
      </c>
      <c r="G26" t="n">
        <v>3.1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HYPERLINK("https://klasma.github.io/Logging_1864/artfynd/A 40812-2023 artfynd.xlsx", "A 40812-2023")</f>
        <v/>
      </c>
      <c r="T26">
        <f>HYPERLINK("https://klasma.github.io/Logging_1864/kartor/A 40812-2023 karta.png", "A 40812-2023")</f>
        <v/>
      </c>
      <c r="V26">
        <f>HYPERLINK("https://klasma.github.io/Logging_1864/klagomål/A 40812-2023 FSC-klagomål.docx", "A 40812-2023")</f>
        <v/>
      </c>
      <c r="W26">
        <f>HYPERLINK("https://klasma.github.io/Logging_1864/klagomålsmail/A 40812-2023 FSC-klagomål mail.docx", "A 40812-2023")</f>
        <v/>
      </c>
      <c r="X26">
        <f>HYPERLINK("https://klasma.github.io/Logging_1864/tillsyn/A 40812-2023 tillsynsbegäran.docx", "A 40812-2023")</f>
        <v/>
      </c>
      <c r="Y26">
        <f>HYPERLINK("https://klasma.github.io/Logging_1864/tillsynsmail/A 40812-2023 tillsynsbegäran mail.docx", "A 40812-2023")</f>
        <v/>
      </c>
      <c r="Z26">
        <f>HYPERLINK("https://klasma.github.io/Logging_1864/fåglar/A 40812-2023 prioriterade fågelarter.docx", "A 40812-2023")</f>
        <v/>
      </c>
    </row>
    <row r="27" ht="15" customHeight="1">
      <c r="A27" t="inlineStr">
        <is>
          <t>A 24791-2024</t>
        </is>
      </c>
      <c r="B27" s="1" t="n">
        <v>45460</v>
      </c>
      <c r="C27" s="1" t="n">
        <v>45788</v>
      </c>
      <c r="D27" t="inlineStr">
        <is>
          <t>ÖREBRO LÄN</t>
        </is>
      </c>
      <c r="E27" t="inlineStr">
        <is>
          <t>LJUSNARSBERG</t>
        </is>
      </c>
      <c r="G27" t="n">
        <v>3.9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HYPERLINK("https://klasma.github.io/Logging_1864/artfynd/A 24791-2024 artfynd.xlsx", "A 24791-2024")</f>
        <v/>
      </c>
      <c r="T27">
        <f>HYPERLINK("https://klasma.github.io/Logging_1864/kartor/A 24791-2024 karta.png", "A 24791-2024")</f>
        <v/>
      </c>
      <c r="V27">
        <f>HYPERLINK("https://klasma.github.io/Logging_1864/klagomål/A 24791-2024 FSC-klagomål.docx", "A 24791-2024")</f>
        <v/>
      </c>
      <c r="W27">
        <f>HYPERLINK("https://klasma.github.io/Logging_1864/klagomålsmail/A 24791-2024 FSC-klagomål mail.docx", "A 24791-2024")</f>
        <v/>
      </c>
      <c r="X27">
        <f>HYPERLINK("https://klasma.github.io/Logging_1864/tillsyn/A 24791-2024 tillsynsbegäran.docx", "A 24791-2024")</f>
        <v/>
      </c>
      <c r="Y27">
        <f>HYPERLINK("https://klasma.github.io/Logging_1864/tillsynsmail/A 24791-2024 tillsynsbegäran mail.docx", "A 24791-2024")</f>
        <v/>
      </c>
      <c r="Z27">
        <f>HYPERLINK("https://klasma.github.io/Logging_1864/fåglar/A 24791-2024 prioriterade fågelarter.docx", "A 24791-2024")</f>
        <v/>
      </c>
    </row>
    <row r="28" ht="15" customHeight="1">
      <c r="A28" t="inlineStr">
        <is>
          <t>A 41609-2024</t>
        </is>
      </c>
      <c r="B28" s="1" t="n">
        <v>45560</v>
      </c>
      <c r="C28" s="1" t="n">
        <v>45788</v>
      </c>
      <c r="D28" t="inlineStr">
        <is>
          <t>ÖREBRO LÄN</t>
        </is>
      </c>
      <c r="E28" t="inlineStr">
        <is>
          <t>LJUSNARSBERG</t>
        </is>
      </c>
      <c r="G28" t="n">
        <v>51.2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HYPERLINK("https://klasma.github.io/Logging_1864/artfynd/A 41609-2024 artfynd.xlsx", "A 41609-2024")</f>
        <v/>
      </c>
      <c r="T28">
        <f>HYPERLINK("https://klasma.github.io/Logging_1864/kartor/A 41609-2024 karta.png", "A 41609-2024")</f>
        <v/>
      </c>
      <c r="V28">
        <f>HYPERLINK("https://klasma.github.io/Logging_1864/klagomål/A 41609-2024 FSC-klagomål.docx", "A 41609-2024")</f>
        <v/>
      </c>
      <c r="W28">
        <f>HYPERLINK("https://klasma.github.io/Logging_1864/klagomålsmail/A 41609-2024 FSC-klagomål mail.docx", "A 41609-2024")</f>
        <v/>
      </c>
      <c r="X28">
        <f>HYPERLINK("https://klasma.github.io/Logging_1864/tillsyn/A 41609-2024 tillsynsbegäran.docx", "A 41609-2024")</f>
        <v/>
      </c>
      <c r="Y28">
        <f>HYPERLINK("https://klasma.github.io/Logging_1864/tillsynsmail/A 41609-2024 tillsynsbegäran mail.docx", "A 41609-2024")</f>
        <v/>
      </c>
    </row>
    <row r="29" ht="15" customHeight="1">
      <c r="A29" t="inlineStr">
        <is>
          <t>A 56179-2024</t>
        </is>
      </c>
      <c r="B29" s="1" t="n">
        <v>45623</v>
      </c>
      <c r="C29" s="1" t="n">
        <v>45788</v>
      </c>
      <c r="D29" t="inlineStr">
        <is>
          <t>ÖREBRO LÄN</t>
        </is>
      </c>
      <c r="E29" t="inlineStr">
        <is>
          <t>LJUSNARSBERG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HYPERLINK("https://klasma.github.io/Logging_1864/artfynd/A 56179-2024 artfynd.xlsx", "A 56179-2024")</f>
        <v/>
      </c>
      <c r="T29">
        <f>HYPERLINK("https://klasma.github.io/Logging_1864/kartor/A 56179-2024 karta.png", "A 56179-2024")</f>
        <v/>
      </c>
      <c r="V29">
        <f>HYPERLINK("https://klasma.github.io/Logging_1864/klagomål/A 56179-2024 FSC-klagomål.docx", "A 56179-2024")</f>
        <v/>
      </c>
      <c r="W29">
        <f>HYPERLINK("https://klasma.github.io/Logging_1864/klagomålsmail/A 56179-2024 FSC-klagomål mail.docx", "A 56179-2024")</f>
        <v/>
      </c>
      <c r="X29">
        <f>HYPERLINK("https://klasma.github.io/Logging_1864/tillsyn/A 56179-2024 tillsynsbegäran.docx", "A 56179-2024")</f>
        <v/>
      </c>
      <c r="Y29">
        <f>HYPERLINK("https://klasma.github.io/Logging_1864/tillsynsmail/A 56179-2024 tillsynsbegäran mail.docx", "A 56179-2024")</f>
        <v/>
      </c>
    </row>
    <row r="30" ht="15" customHeight="1">
      <c r="A30" t="inlineStr">
        <is>
          <t>A 18595-2019</t>
        </is>
      </c>
      <c r="B30" s="1" t="n">
        <v>43560</v>
      </c>
      <c r="C30" s="1" t="n">
        <v>45788</v>
      </c>
      <c r="D30" t="inlineStr">
        <is>
          <t>ÖREBRO LÄN</t>
        </is>
      </c>
      <c r="E30" t="inlineStr">
        <is>
          <t>LJUSNARSBERG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19184-2019</t>
        </is>
      </c>
      <c r="B31" s="1" t="n">
        <v>43564</v>
      </c>
      <c r="C31" s="1" t="n">
        <v>45788</v>
      </c>
      <c r="D31" t="inlineStr">
        <is>
          <t>ÖREBRO LÄN</t>
        </is>
      </c>
      <c r="E31" t="inlineStr">
        <is>
          <t>LJUSNARSBERG</t>
        </is>
      </c>
      <c r="G31" t="n">
        <v>8.300000000000001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19192-2019</t>
        </is>
      </c>
      <c r="B32" s="1" t="n">
        <v>43564</v>
      </c>
      <c r="C32" s="1" t="n">
        <v>45788</v>
      </c>
      <c r="D32" t="inlineStr">
        <is>
          <t>ÖREBRO LÄN</t>
        </is>
      </c>
      <c r="E32" t="inlineStr">
        <is>
          <t>LJUSNARSBERG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19221-2019</t>
        </is>
      </c>
      <c r="B33" s="1" t="n">
        <v>43564</v>
      </c>
      <c r="C33" s="1" t="n">
        <v>45788</v>
      </c>
      <c r="D33" t="inlineStr">
        <is>
          <t>ÖREBRO LÄN</t>
        </is>
      </c>
      <c r="E33" t="inlineStr">
        <is>
          <t>LJUSNARSBERG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20601-2019</t>
        </is>
      </c>
      <c r="B34" s="1" t="n">
        <v>43572</v>
      </c>
      <c r="C34" s="1" t="n">
        <v>45788</v>
      </c>
      <c r="D34" t="inlineStr">
        <is>
          <t>ÖREBRO LÄN</t>
        </is>
      </c>
      <c r="E34" t="inlineStr">
        <is>
          <t>LJUSNARSBERG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22661-2019</t>
        </is>
      </c>
      <c r="B35" s="1" t="n">
        <v>43588</v>
      </c>
      <c r="C35" s="1" t="n">
        <v>45788</v>
      </c>
      <c r="D35" t="inlineStr">
        <is>
          <t>ÖREBRO LÄN</t>
        </is>
      </c>
      <c r="E35" t="inlineStr">
        <is>
          <t>LJUSNARSBERG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22723-2019</t>
        </is>
      </c>
      <c r="B36" s="1" t="n">
        <v>43588</v>
      </c>
      <c r="C36" s="1" t="n">
        <v>45788</v>
      </c>
      <c r="D36" t="inlineStr">
        <is>
          <t>ÖREBRO LÄN</t>
        </is>
      </c>
      <c r="E36" t="inlineStr">
        <is>
          <t>LJUSNARSBERG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25125-2019</t>
        </is>
      </c>
      <c r="B37" s="1" t="n">
        <v>43605</v>
      </c>
      <c r="C37" s="1" t="n">
        <v>45788</v>
      </c>
      <c r="D37" t="inlineStr">
        <is>
          <t>ÖREBRO LÄN</t>
        </is>
      </c>
      <c r="E37" t="inlineStr">
        <is>
          <t>LJUSNARSBERG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25175-2019</t>
        </is>
      </c>
      <c r="B38" s="1" t="n">
        <v>43605</v>
      </c>
      <c r="C38" s="1" t="n">
        <v>45788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29980-2019</t>
        </is>
      </c>
      <c r="B39" s="1" t="n">
        <v>43633</v>
      </c>
      <c r="C39" s="1" t="n">
        <v>45788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29983-2019</t>
        </is>
      </c>
      <c r="B40" s="1" t="n">
        <v>43633</v>
      </c>
      <c r="C40" s="1" t="n">
        <v>45788</v>
      </c>
      <c r="D40" t="inlineStr">
        <is>
          <t>ÖREBRO LÄN</t>
        </is>
      </c>
      <c r="E40" t="inlineStr">
        <is>
          <t>LJUSNARSBERG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32320-2019</t>
        </is>
      </c>
      <c r="B41" s="1" t="n">
        <v>43644</v>
      </c>
      <c r="C41" s="1" t="n">
        <v>45788</v>
      </c>
      <c r="D41" t="inlineStr">
        <is>
          <t>ÖREBRO LÄN</t>
        </is>
      </c>
      <c r="E41" t="inlineStr">
        <is>
          <t>LJUSNARSBERG</t>
        </is>
      </c>
      <c r="F41" t="inlineStr">
        <is>
          <t>Kyrkan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35840-2019</t>
        </is>
      </c>
      <c r="B42" s="1" t="n">
        <v>43656</v>
      </c>
      <c r="C42" s="1" t="n">
        <v>45788</v>
      </c>
      <c r="D42" t="inlineStr">
        <is>
          <t>ÖREBRO LÄN</t>
        </is>
      </c>
      <c r="E42" t="inlineStr">
        <is>
          <t>LJUSNARSBERG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35826-2019</t>
        </is>
      </c>
      <c r="B43" s="1" t="n">
        <v>43656</v>
      </c>
      <c r="C43" s="1" t="n">
        <v>45788</v>
      </c>
      <c r="D43" t="inlineStr">
        <is>
          <t>ÖREBRO LÄN</t>
        </is>
      </c>
      <c r="E43" t="inlineStr">
        <is>
          <t>LJUSNARSBERG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35836-2019</t>
        </is>
      </c>
      <c r="B44" s="1" t="n">
        <v>43656</v>
      </c>
      <c r="C44" s="1" t="n">
        <v>45788</v>
      </c>
      <c r="D44" t="inlineStr">
        <is>
          <t>ÖREBRO LÄN</t>
        </is>
      </c>
      <c r="E44" t="inlineStr">
        <is>
          <t>LJUSNARSBERG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35843-2019</t>
        </is>
      </c>
      <c r="B45" s="1" t="n">
        <v>43656</v>
      </c>
      <c r="C45" s="1" t="n">
        <v>45788</v>
      </c>
      <c r="D45" t="inlineStr">
        <is>
          <t>ÖREBRO LÄN</t>
        </is>
      </c>
      <c r="E45" t="inlineStr">
        <is>
          <t>LJUSNARSBERG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35776-2019</t>
        </is>
      </c>
      <c r="B46" s="1" t="n">
        <v>43656</v>
      </c>
      <c r="C46" s="1" t="n">
        <v>45788</v>
      </c>
      <c r="D46" t="inlineStr">
        <is>
          <t>ÖREBRO LÄN</t>
        </is>
      </c>
      <c r="E46" t="inlineStr">
        <is>
          <t>LJUSNARSBERG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40720-2019</t>
        </is>
      </c>
      <c r="B47" s="1" t="n">
        <v>43697</v>
      </c>
      <c r="C47" s="1" t="n">
        <v>45788</v>
      </c>
      <c r="D47" t="inlineStr">
        <is>
          <t>ÖREBRO LÄN</t>
        </is>
      </c>
      <c r="E47" t="inlineStr">
        <is>
          <t>LJUSNARSBERG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43870-2019</t>
        </is>
      </c>
      <c r="B48" s="1" t="n">
        <v>43707</v>
      </c>
      <c r="C48" s="1" t="n">
        <v>45788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45813-2019</t>
        </is>
      </c>
      <c r="B49" s="1" t="n">
        <v>43717</v>
      </c>
      <c r="C49" s="1" t="n">
        <v>45788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46899-2019</t>
        </is>
      </c>
      <c r="B50" s="1" t="n">
        <v>43719</v>
      </c>
      <c r="C50" s="1" t="n">
        <v>45788</v>
      </c>
      <c r="D50" t="inlineStr">
        <is>
          <t>ÖREBRO LÄN</t>
        </is>
      </c>
      <c r="E50" t="inlineStr">
        <is>
          <t>LJUSNARSBERG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50485-2019</t>
        </is>
      </c>
      <c r="B51" s="1" t="n">
        <v>43735</v>
      </c>
      <c r="C51" s="1" t="n">
        <v>45788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55979-2019</t>
        </is>
      </c>
      <c r="B52" s="1" t="n">
        <v>43759</v>
      </c>
      <c r="C52" s="1" t="n">
        <v>45788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60066-2019</t>
        </is>
      </c>
      <c r="B53" s="1" t="n">
        <v>43777</v>
      </c>
      <c r="C53" s="1" t="n">
        <v>45788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60009-2019</t>
        </is>
      </c>
      <c r="B54" s="1" t="n">
        <v>43777</v>
      </c>
      <c r="C54" s="1" t="n">
        <v>45788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60069-2019</t>
        </is>
      </c>
      <c r="B55" s="1" t="n">
        <v>43777</v>
      </c>
      <c r="C55" s="1" t="n">
        <v>45788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60243-2019</t>
        </is>
      </c>
      <c r="B56" s="1" t="n">
        <v>43780</v>
      </c>
      <c r="C56" s="1" t="n">
        <v>45788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60192-2019</t>
        </is>
      </c>
      <c r="B57" s="1" t="n">
        <v>43780</v>
      </c>
      <c r="C57" s="1" t="n">
        <v>45788</v>
      </c>
      <c r="D57" t="inlineStr">
        <is>
          <t>ÖREBRO LÄN</t>
        </is>
      </c>
      <c r="E57" t="inlineStr">
        <is>
          <t>LJUSNARSBERG</t>
        </is>
      </c>
      <c r="F57" t="inlineStr">
        <is>
          <t>Kyrkan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60733-2019</t>
        </is>
      </c>
      <c r="B58" s="1" t="n">
        <v>43781</v>
      </c>
      <c r="C58" s="1" t="n">
        <v>45788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61510-2019</t>
        </is>
      </c>
      <c r="B59" s="1" t="n">
        <v>43783</v>
      </c>
      <c r="C59" s="1" t="n">
        <v>45788</v>
      </c>
      <c r="D59" t="inlineStr">
        <is>
          <t>ÖREBRO LÄN</t>
        </is>
      </c>
      <c r="E59" t="inlineStr">
        <is>
          <t>LJUSNARSBERG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65185-2019</t>
        </is>
      </c>
      <c r="B60" s="1" t="n">
        <v>43796</v>
      </c>
      <c r="C60" s="1" t="n">
        <v>45788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64675-2019</t>
        </is>
      </c>
      <c r="B61" s="1" t="n">
        <v>43798</v>
      </c>
      <c r="C61" s="1" t="n">
        <v>45788</v>
      </c>
      <c r="D61" t="inlineStr">
        <is>
          <t>ÖREBRO LÄN</t>
        </is>
      </c>
      <c r="E61" t="inlineStr">
        <is>
          <t>LJUSNARSBERG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64860-2019</t>
        </is>
      </c>
      <c r="B62" s="1" t="n">
        <v>43801</v>
      </c>
      <c r="C62" s="1" t="n">
        <v>45788</v>
      </c>
      <c r="D62" t="inlineStr">
        <is>
          <t>ÖREBRO LÄN</t>
        </is>
      </c>
      <c r="E62" t="inlineStr">
        <is>
          <t>LJUSNARSBERG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65251-2019</t>
        </is>
      </c>
      <c r="B63" s="1" t="n">
        <v>43802</v>
      </c>
      <c r="C63" s="1" t="n">
        <v>45788</v>
      </c>
      <c r="D63" t="inlineStr">
        <is>
          <t>ÖREBRO LÄN</t>
        </is>
      </c>
      <c r="E63" t="inlineStr">
        <is>
          <t>LJUSNARSBERG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65920-2019</t>
        </is>
      </c>
      <c r="B64" s="1" t="n">
        <v>43805</v>
      </c>
      <c r="C64" s="1" t="n">
        <v>45788</v>
      </c>
      <c r="D64" t="inlineStr">
        <is>
          <t>ÖREBRO LÄN</t>
        </is>
      </c>
      <c r="E64" t="inlineStr">
        <is>
          <t>LJUSNARSBERG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67236-2019</t>
        </is>
      </c>
      <c r="B65" s="1" t="n">
        <v>43812</v>
      </c>
      <c r="C65" s="1" t="n">
        <v>45788</v>
      </c>
      <c r="D65" t="inlineStr">
        <is>
          <t>ÖREBRO LÄN</t>
        </is>
      </c>
      <c r="E65" t="inlineStr">
        <is>
          <t>LJUSNARSBERG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8421-2020</t>
        </is>
      </c>
      <c r="B66" s="1" t="n">
        <v>43874</v>
      </c>
      <c r="C66" s="1" t="n">
        <v>45788</v>
      </c>
      <c r="D66" t="inlineStr">
        <is>
          <t>ÖREBRO LÄN</t>
        </is>
      </c>
      <c r="E66" t="inlineStr">
        <is>
          <t>LJUSNARSBERG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10684-2020</t>
        </is>
      </c>
      <c r="B67" s="1" t="n">
        <v>43888</v>
      </c>
      <c r="C67" s="1" t="n">
        <v>45788</v>
      </c>
      <c r="D67" t="inlineStr">
        <is>
          <t>ÖREBRO LÄN</t>
        </is>
      </c>
      <c r="E67" t="inlineStr">
        <is>
          <t>LJUSNARSBERG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13605-2020</t>
        </is>
      </c>
      <c r="B68" s="1" t="n">
        <v>43895</v>
      </c>
      <c r="C68" s="1" t="n">
        <v>45788</v>
      </c>
      <c r="D68" t="inlineStr">
        <is>
          <t>ÖREBRO LÄN</t>
        </is>
      </c>
      <c r="E68" t="inlineStr">
        <is>
          <t>LJUSNARSBERG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13591-2020</t>
        </is>
      </c>
      <c r="B69" s="1" t="n">
        <v>43903</v>
      </c>
      <c r="C69" s="1" t="n">
        <v>45788</v>
      </c>
      <c r="D69" t="inlineStr">
        <is>
          <t>ÖREBRO LÄN</t>
        </is>
      </c>
      <c r="E69" t="inlineStr">
        <is>
          <t>LJUSNARSBERG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18527-2020</t>
        </is>
      </c>
      <c r="B70" s="1" t="n">
        <v>43927</v>
      </c>
      <c r="C70" s="1" t="n">
        <v>45788</v>
      </c>
      <c r="D70" t="inlineStr">
        <is>
          <t>ÖREBRO LÄN</t>
        </is>
      </c>
      <c r="E70" t="inlineStr">
        <is>
          <t>LJUSNARSBERG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24995-2020</t>
        </is>
      </c>
      <c r="B71" s="1" t="n">
        <v>43979</v>
      </c>
      <c r="C71" s="1" t="n">
        <v>45788</v>
      </c>
      <c r="D71" t="inlineStr">
        <is>
          <t>ÖREBRO LÄN</t>
        </is>
      </c>
      <c r="E71" t="inlineStr">
        <is>
          <t>LJUSNARSBERG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25862-2020</t>
        </is>
      </c>
      <c r="B72" s="1" t="n">
        <v>43984</v>
      </c>
      <c r="C72" s="1" t="n">
        <v>45788</v>
      </c>
      <c r="D72" t="inlineStr">
        <is>
          <t>ÖREBRO LÄN</t>
        </is>
      </c>
      <c r="E72" t="inlineStr">
        <is>
          <t>LJUSNARSBERG</t>
        </is>
      </c>
      <c r="F72" t="inlineStr">
        <is>
          <t>Sveaskog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31511-2020</t>
        </is>
      </c>
      <c r="B73" s="1" t="n">
        <v>44013</v>
      </c>
      <c r="C73" s="1" t="n">
        <v>45788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35874-2020</t>
        </is>
      </c>
      <c r="B74" s="1" t="n">
        <v>44047</v>
      </c>
      <c r="C74" s="1" t="n">
        <v>45788</v>
      </c>
      <c r="D74" t="inlineStr">
        <is>
          <t>ÖREBRO LÄN</t>
        </is>
      </c>
      <c r="E74" t="inlineStr">
        <is>
          <t>LJUSNARSBERG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35913-2020</t>
        </is>
      </c>
      <c r="B75" s="1" t="n">
        <v>44047</v>
      </c>
      <c r="C75" s="1" t="n">
        <v>45788</v>
      </c>
      <c r="D75" t="inlineStr">
        <is>
          <t>ÖREBRO LÄN</t>
        </is>
      </c>
      <c r="E75" t="inlineStr">
        <is>
          <t>LJUSNARSBERG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35960-2020</t>
        </is>
      </c>
      <c r="B76" s="1" t="n">
        <v>44047</v>
      </c>
      <c r="C76" s="1" t="n">
        <v>45788</v>
      </c>
      <c r="D76" t="inlineStr">
        <is>
          <t>ÖREBRO LÄN</t>
        </is>
      </c>
      <c r="E76" t="inlineStr">
        <is>
          <t>LJUSNARSBERG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36601-2020</t>
        </is>
      </c>
      <c r="B77" s="1" t="n">
        <v>44050</v>
      </c>
      <c r="C77" s="1" t="n">
        <v>45788</v>
      </c>
      <c r="D77" t="inlineStr">
        <is>
          <t>ÖREBRO LÄN</t>
        </is>
      </c>
      <c r="E77" t="inlineStr">
        <is>
          <t>LJUSNARSBERG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38911-2020</t>
        </is>
      </c>
      <c r="B78" s="1" t="n">
        <v>44062</v>
      </c>
      <c r="C78" s="1" t="n">
        <v>45788</v>
      </c>
      <c r="D78" t="inlineStr">
        <is>
          <t>ÖREBRO LÄN</t>
        </is>
      </c>
      <c r="E78" t="inlineStr">
        <is>
          <t>LJUSNARSBERG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41381-2020</t>
        </is>
      </c>
      <c r="B79" s="1" t="n">
        <v>44072</v>
      </c>
      <c r="C79" s="1" t="n">
        <v>45788</v>
      </c>
      <c r="D79" t="inlineStr">
        <is>
          <t>ÖREBRO LÄN</t>
        </is>
      </c>
      <c r="E79" t="inlineStr">
        <is>
          <t>LJUSNARSBERG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52919-2020</t>
        </is>
      </c>
      <c r="B80" s="1" t="n">
        <v>44120</v>
      </c>
      <c r="C80" s="1" t="n">
        <v>45788</v>
      </c>
      <c r="D80" t="inlineStr">
        <is>
          <t>ÖREBRO LÄN</t>
        </is>
      </c>
      <c r="E80" t="inlineStr">
        <is>
          <t>LJUSNARSBERG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55248-2020</t>
        </is>
      </c>
      <c r="B81" s="1" t="n">
        <v>44130</v>
      </c>
      <c r="C81" s="1" t="n">
        <v>45788</v>
      </c>
      <c r="D81" t="inlineStr">
        <is>
          <t>ÖREBRO LÄN</t>
        </is>
      </c>
      <c r="E81" t="inlineStr">
        <is>
          <t>LJUSNARSBERG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59516-2020</t>
        </is>
      </c>
      <c r="B82" s="1" t="n">
        <v>44148</v>
      </c>
      <c r="C82" s="1" t="n">
        <v>45788</v>
      </c>
      <c r="D82" t="inlineStr">
        <is>
          <t>ÖREBRO LÄN</t>
        </is>
      </c>
      <c r="E82" t="inlineStr">
        <is>
          <t>LJUSNARSBERG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59517-2020</t>
        </is>
      </c>
      <c r="B83" s="1" t="n">
        <v>44148</v>
      </c>
      <c r="C83" s="1" t="n">
        <v>45788</v>
      </c>
      <c r="D83" t="inlineStr">
        <is>
          <t>ÖREBRO LÄN</t>
        </is>
      </c>
      <c r="E83" t="inlineStr">
        <is>
          <t>LJUSNARSBERG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66209-2020</t>
        </is>
      </c>
      <c r="B84" s="1" t="n">
        <v>44175</v>
      </c>
      <c r="C84" s="1" t="n">
        <v>45788</v>
      </c>
      <c r="D84" t="inlineStr">
        <is>
          <t>ÖREBRO LÄN</t>
        </is>
      </c>
      <c r="E84" t="inlineStr">
        <is>
          <t>LJUSNARSBERG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1577-2021</t>
        </is>
      </c>
      <c r="B85" s="1" t="n">
        <v>44209</v>
      </c>
      <c r="C85" s="1" t="n">
        <v>45788</v>
      </c>
      <c r="D85" t="inlineStr">
        <is>
          <t>ÖREBRO LÄN</t>
        </is>
      </c>
      <c r="E85" t="inlineStr">
        <is>
          <t>LJUSNARSBERG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4876-2021</t>
        </is>
      </c>
      <c r="B86" s="1" t="n">
        <v>44225</v>
      </c>
      <c r="C86" s="1" t="n">
        <v>45788</v>
      </c>
      <c r="D86" t="inlineStr">
        <is>
          <t>ÖREBRO LÄN</t>
        </is>
      </c>
      <c r="E86" t="inlineStr">
        <is>
          <t>LJUSNARSBERG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4964-2021</t>
        </is>
      </c>
      <c r="B87" s="1" t="n">
        <v>44228</v>
      </c>
      <c r="C87" s="1" t="n">
        <v>45788</v>
      </c>
      <c r="D87" t="inlineStr">
        <is>
          <t>ÖREBRO LÄN</t>
        </is>
      </c>
      <c r="E87" t="inlineStr">
        <is>
          <t>LJUSNARSBERG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14153-2021</t>
        </is>
      </c>
      <c r="B88" s="1" t="n">
        <v>44278</v>
      </c>
      <c r="C88" s="1" t="n">
        <v>45788</v>
      </c>
      <c r="D88" t="inlineStr">
        <is>
          <t>ÖREBRO LÄN</t>
        </is>
      </c>
      <c r="E88" t="inlineStr">
        <is>
          <t>LJUSNARSBERG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14249-2021</t>
        </is>
      </c>
      <c r="B89" s="1" t="n">
        <v>44278</v>
      </c>
      <c r="C89" s="1" t="n">
        <v>45788</v>
      </c>
      <c r="D89" t="inlineStr">
        <is>
          <t>ÖREBRO LÄN</t>
        </is>
      </c>
      <c r="E89" t="inlineStr">
        <is>
          <t>LJUSNARSBERG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15329-2021</t>
        </is>
      </c>
      <c r="B90" s="1" t="n">
        <v>44284</v>
      </c>
      <c r="C90" s="1" t="n">
        <v>45788</v>
      </c>
      <c r="D90" t="inlineStr">
        <is>
          <t>ÖREBRO LÄN</t>
        </is>
      </c>
      <c r="E90" t="inlineStr">
        <is>
          <t>LJUSNARSBERG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15403-2021</t>
        </is>
      </c>
      <c r="B91" s="1" t="n">
        <v>44284</v>
      </c>
      <c r="C91" s="1" t="n">
        <v>45788</v>
      </c>
      <c r="D91" t="inlineStr">
        <is>
          <t>ÖREBRO LÄN</t>
        </is>
      </c>
      <c r="E91" t="inlineStr">
        <is>
          <t>LJUSNARSBERG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15325-2021</t>
        </is>
      </c>
      <c r="B92" s="1" t="n">
        <v>44284</v>
      </c>
      <c r="C92" s="1" t="n">
        <v>45788</v>
      </c>
      <c r="D92" t="inlineStr">
        <is>
          <t>ÖREBRO LÄN</t>
        </is>
      </c>
      <c r="E92" t="inlineStr">
        <is>
          <t>LJUSNARSBERG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18080-2021</t>
        </is>
      </c>
      <c r="B93" s="1" t="n">
        <v>44302</v>
      </c>
      <c r="C93" s="1" t="n">
        <v>45788</v>
      </c>
      <c r="D93" t="inlineStr">
        <is>
          <t>ÖREBRO LÄN</t>
        </is>
      </c>
      <c r="E93" t="inlineStr">
        <is>
          <t>LJUSNARSBERG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22869-2021</t>
        </is>
      </c>
      <c r="B94" s="1" t="n">
        <v>44328</v>
      </c>
      <c r="C94" s="1" t="n">
        <v>45788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23196-2021</t>
        </is>
      </c>
      <c r="B95" s="1" t="n">
        <v>44333</v>
      </c>
      <c r="C95" s="1" t="n">
        <v>45788</v>
      </c>
      <c r="D95" t="inlineStr">
        <is>
          <t>ÖREBRO LÄN</t>
        </is>
      </c>
      <c r="E95" t="inlineStr">
        <is>
          <t>LJUSNARSBERG</t>
        </is>
      </c>
      <c r="F95" t="inlineStr">
        <is>
          <t>Kyrkan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26597-2021</t>
        </is>
      </c>
      <c r="B96" s="1" t="n">
        <v>44348</v>
      </c>
      <c r="C96" s="1" t="n">
        <v>45788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26536-2021</t>
        </is>
      </c>
      <c r="B97" s="1" t="n">
        <v>44348</v>
      </c>
      <c r="C97" s="1" t="n">
        <v>45788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29651-2021</t>
        </is>
      </c>
      <c r="B98" s="1" t="n">
        <v>44362</v>
      </c>
      <c r="C98" s="1" t="n">
        <v>45788</v>
      </c>
      <c r="D98" t="inlineStr">
        <is>
          <t>ÖREBRO LÄN</t>
        </is>
      </c>
      <c r="E98" t="inlineStr">
        <is>
          <t>LJUSNARSBERG</t>
        </is>
      </c>
      <c r="F98" t="inlineStr">
        <is>
          <t>Övriga Aktiebolag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30148-2021</t>
        </is>
      </c>
      <c r="B99" s="1" t="n">
        <v>44363</v>
      </c>
      <c r="C99" s="1" t="n">
        <v>45788</v>
      </c>
      <c r="D99" t="inlineStr">
        <is>
          <t>ÖREBRO LÄN</t>
        </is>
      </c>
      <c r="E99" t="inlineStr">
        <is>
          <t>LJUSNARSBERG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31050-2021</t>
        </is>
      </c>
      <c r="B100" s="1" t="n">
        <v>44368</v>
      </c>
      <c r="C100" s="1" t="n">
        <v>45788</v>
      </c>
      <c r="D100" t="inlineStr">
        <is>
          <t>ÖREBRO LÄN</t>
        </is>
      </c>
      <c r="E100" t="inlineStr">
        <is>
          <t>LJUSNARSBERG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31549-2021</t>
        </is>
      </c>
      <c r="B101" s="1" t="n">
        <v>44369</v>
      </c>
      <c r="C101" s="1" t="n">
        <v>45788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33031-2021</t>
        </is>
      </c>
      <c r="B102" s="1" t="n">
        <v>44376</v>
      </c>
      <c r="C102" s="1" t="n">
        <v>45788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33060-2021</t>
        </is>
      </c>
      <c r="B103" s="1" t="n">
        <v>44376</v>
      </c>
      <c r="C103" s="1" t="n">
        <v>45788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35794-2021</t>
        </is>
      </c>
      <c r="B104" s="1" t="n">
        <v>44386</v>
      </c>
      <c r="C104" s="1" t="n">
        <v>45788</v>
      </c>
      <c r="D104" t="inlineStr">
        <is>
          <t>ÖREBRO LÄN</t>
        </is>
      </c>
      <c r="E104" t="inlineStr">
        <is>
          <t>LJUSNARSBERG</t>
        </is>
      </c>
      <c r="G104" t="n">
        <v>37.5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36547-2021</t>
        </is>
      </c>
      <c r="B105" s="1" t="n">
        <v>44391</v>
      </c>
      <c r="C105" s="1" t="n">
        <v>45788</v>
      </c>
      <c r="D105" t="inlineStr">
        <is>
          <t>ÖREBRO LÄN</t>
        </is>
      </c>
      <c r="E105" t="inlineStr">
        <is>
          <t>LJUSNARSBERG</t>
        </is>
      </c>
      <c r="G105" t="n">
        <v>23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39187-2021</t>
        </is>
      </c>
      <c r="B106" s="1" t="n">
        <v>44412</v>
      </c>
      <c r="C106" s="1" t="n">
        <v>45788</v>
      </c>
      <c r="D106" t="inlineStr">
        <is>
          <t>ÖREBRO LÄN</t>
        </is>
      </c>
      <c r="E106" t="inlineStr">
        <is>
          <t>LJUSNARSBERG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41453-2021</t>
        </is>
      </c>
      <c r="B107" s="1" t="n">
        <v>44424</v>
      </c>
      <c r="C107" s="1" t="n">
        <v>45788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44293-2021</t>
        </is>
      </c>
      <c r="B108" s="1" t="n">
        <v>44435</v>
      </c>
      <c r="C108" s="1" t="n">
        <v>45788</v>
      </c>
      <c r="D108" t="inlineStr">
        <is>
          <t>ÖREBRO LÄN</t>
        </is>
      </c>
      <c r="E108" t="inlineStr">
        <is>
          <t>LJUSNARSBERG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44282-2021</t>
        </is>
      </c>
      <c r="B109" s="1" t="n">
        <v>44435</v>
      </c>
      <c r="C109" s="1" t="n">
        <v>45788</v>
      </c>
      <c r="D109" t="inlineStr">
        <is>
          <t>ÖREBRO LÄN</t>
        </is>
      </c>
      <c r="E109" t="inlineStr">
        <is>
          <t>LJUSNARSBERG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44788-2021</t>
        </is>
      </c>
      <c r="B110" s="1" t="n">
        <v>44438</v>
      </c>
      <c r="C110" s="1" t="n">
        <v>45788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44807-2021</t>
        </is>
      </c>
      <c r="B111" s="1" t="n">
        <v>44438</v>
      </c>
      <c r="C111" s="1" t="n">
        <v>45788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44850-2021</t>
        </is>
      </c>
      <c r="B112" s="1" t="n">
        <v>44438</v>
      </c>
      <c r="C112" s="1" t="n">
        <v>45788</v>
      </c>
      <c r="D112" t="inlineStr">
        <is>
          <t>ÖREBRO LÄN</t>
        </is>
      </c>
      <c r="E112" t="inlineStr">
        <is>
          <t>LJUSNARSBERG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44858-2021</t>
        </is>
      </c>
      <c r="B113" s="1" t="n">
        <v>44438</v>
      </c>
      <c r="C113" s="1" t="n">
        <v>45788</v>
      </c>
      <c r="D113" t="inlineStr">
        <is>
          <t>ÖREBRO LÄN</t>
        </is>
      </c>
      <c r="E113" t="inlineStr">
        <is>
          <t>LJUSNARSBERG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45797-2021</t>
        </is>
      </c>
      <c r="B114" s="1" t="n">
        <v>44441</v>
      </c>
      <c r="C114" s="1" t="n">
        <v>45788</v>
      </c>
      <c r="D114" t="inlineStr">
        <is>
          <t>ÖREBRO LÄN</t>
        </is>
      </c>
      <c r="E114" t="inlineStr">
        <is>
          <t>LJUSNARSBERG</t>
        </is>
      </c>
      <c r="G114" t="n">
        <v>9.9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45859-2021</t>
        </is>
      </c>
      <c r="B115" s="1" t="n">
        <v>44441</v>
      </c>
      <c r="C115" s="1" t="n">
        <v>45788</v>
      </c>
      <c r="D115" t="inlineStr">
        <is>
          <t>ÖREBRO LÄN</t>
        </is>
      </c>
      <c r="E115" t="inlineStr">
        <is>
          <t>LJUSNARSBERG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46263-2021</t>
        </is>
      </c>
      <c r="B116" s="1" t="n">
        <v>44442</v>
      </c>
      <c r="C116" s="1" t="n">
        <v>45788</v>
      </c>
      <c r="D116" t="inlineStr">
        <is>
          <t>ÖREBRO LÄN</t>
        </is>
      </c>
      <c r="E116" t="inlineStr">
        <is>
          <t>LJUSNARSBERG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48744-2021</t>
        </is>
      </c>
      <c r="B117" s="1" t="n">
        <v>44452</v>
      </c>
      <c r="C117" s="1" t="n">
        <v>45788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53395-2021</t>
        </is>
      </c>
      <c r="B118" s="1" t="n">
        <v>44468</v>
      </c>
      <c r="C118" s="1" t="n">
        <v>45788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56713-2021</t>
        </is>
      </c>
      <c r="B119" s="1" t="n">
        <v>44481</v>
      </c>
      <c r="C119" s="1" t="n">
        <v>45788</v>
      </c>
      <c r="D119" t="inlineStr">
        <is>
          <t>ÖREBRO LÄN</t>
        </is>
      </c>
      <c r="E119" t="inlineStr">
        <is>
          <t>LJUSNARSBERG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57129-2021</t>
        </is>
      </c>
      <c r="B120" s="1" t="n">
        <v>44482</v>
      </c>
      <c r="C120" s="1" t="n">
        <v>45788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58668-2021</t>
        </is>
      </c>
      <c r="B121" s="1" t="n">
        <v>44489</v>
      </c>
      <c r="C121" s="1" t="n">
        <v>45788</v>
      </c>
      <c r="D121" t="inlineStr">
        <is>
          <t>ÖREBRO LÄN</t>
        </is>
      </c>
      <c r="E121" t="inlineStr">
        <is>
          <t>LJUSNARSBERG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59699-2021</t>
        </is>
      </c>
      <c r="B122" s="1" t="n">
        <v>44494</v>
      </c>
      <c r="C122" s="1" t="n">
        <v>45788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62810-2021</t>
        </is>
      </c>
      <c r="B123" s="1" t="n">
        <v>44503</v>
      </c>
      <c r="C123" s="1" t="n">
        <v>45788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62843-2021</t>
        </is>
      </c>
      <c r="B124" s="1" t="n">
        <v>44503</v>
      </c>
      <c r="C124" s="1" t="n">
        <v>45788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64400-2021</t>
        </is>
      </c>
      <c r="B125" s="1" t="n">
        <v>44511</v>
      </c>
      <c r="C125" s="1" t="n">
        <v>45788</v>
      </c>
      <c r="D125" t="inlineStr">
        <is>
          <t>ÖREBRO LÄN</t>
        </is>
      </c>
      <c r="E125" t="inlineStr">
        <is>
          <t>LJUSNARSBERG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64978-2021</t>
        </is>
      </c>
      <c r="B126" s="1" t="n">
        <v>44513</v>
      </c>
      <c r="C126" s="1" t="n">
        <v>45788</v>
      </c>
      <c r="D126" t="inlineStr">
        <is>
          <t>ÖREBRO LÄN</t>
        </is>
      </c>
      <c r="E126" t="inlineStr">
        <is>
          <t>LJUSNARSBERG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67197-2021</t>
        </is>
      </c>
      <c r="B127" s="1" t="n">
        <v>44523</v>
      </c>
      <c r="C127" s="1" t="n">
        <v>45788</v>
      </c>
      <c r="D127" t="inlineStr">
        <is>
          <t>ÖREBRO LÄN</t>
        </is>
      </c>
      <c r="E127" t="inlineStr">
        <is>
          <t>LJUSNARSBERG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67746-2021</t>
        </is>
      </c>
      <c r="B128" s="1" t="n">
        <v>44524</v>
      </c>
      <c r="C128" s="1" t="n">
        <v>45788</v>
      </c>
      <c r="D128" t="inlineStr">
        <is>
          <t>ÖREBRO LÄN</t>
        </is>
      </c>
      <c r="E128" t="inlineStr">
        <is>
          <t>LJUSNARSBERG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70070-2021</t>
        </is>
      </c>
      <c r="B129" s="1" t="n">
        <v>44533</v>
      </c>
      <c r="C129" s="1" t="n">
        <v>45788</v>
      </c>
      <c r="D129" t="inlineStr">
        <is>
          <t>ÖREBRO LÄN</t>
        </is>
      </c>
      <c r="E129" t="inlineStr">
        <is>
          <t>LJUSNARSBERG</t>
        </is>
      </c>
      <c r="G129" t="n">
        <v>14.3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70005-2021</t>
        </is>
      </c>
      <c r="B130" s="1" t="n">
        <v>44533</v>
      </c>
      <c r="C130" s="1" t="n">
        <v>45788</v>
      </c>
      <c r="D130" t="inlineStr">
        <is>
          <t>ÖREBRO LÄN</t>
        </is>
      </c>
      <c r="E130" t="inlineStr">
        <is>
          <t>LJUSNARSBERG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72157-2021</t>
        </is>
      </c>
      <c r="B131" s="1" t="n">
        <v>44544</v>
      </c>
      <c r="C131" s="1" t="n">
        <v>45788</v>
      </c>
      <c r="D131" t="inlineStr">
        <is>
          <t>ÖREBRO LÄN</t>
        </is>
      </c>
      <c r="E131" t="inlineStr">
        <is>
          <t>LJUSNARSBERG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72881-2021</t>
        </is>
      </c>
      <c r="B132" s="1" t="n">
        <v>44547</v>
      </c>
      <c r="C132" s="1" t="n">
        <v>45788</v>
      </c>
      <c r="D132" t="inlineStr">
        <is>
          <t>ÖREBRO LÄN</t>
        </is>
      </c>
      <c r="E132" t="inlineStr">
        <is>
          <t>LJUSNARSBERG</t>
        </is>
      </c>
      <c r="G132" t="n">
        <v>20.6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289-2022</t>
        </is>
      </c>
      <c r="B133" s="1" t="n">
        <v>44564</v>
      </c>
      <c r="C133" s="1" t="n">
        <v>45788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392-2022</t>
        </is>
      </c>
      <c r="B134" s="1" t="n">
        <v>44565</v>
      </c>
      <c r="C134" s="1" t="n">
        <v>45788</v>
      </c>
      <c r="D134" t="inlineStr">
        <is>
          <t>ÖREBRO LÄN</t>
        </is>
      </c>
      <c r="E134" t="inlineStr">
        <is>
          <t>LJUSNARSBERG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1303-2022</t>
        </is>
      </c>
      <c r="B135" s="1" t="n">
        <v>44572</v>
      </c>
      <c r="C135" s="1" t="n">
        <v>45788</v>
      </c>
      <c r="D135" t="inlineStr">
        <is>
          <t>ÖREBRO LÄN</t>
        </is>
      </c>
      <c r="E135" t="inlineStr">
        <is>
          <t>LJUSNARSBERG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1320-2022</t>
        </is>
      </c>
      <c r="B136" s="1" t="n">
        <v>44572</v>
      </c>
      <c r="C136" s="1" t="n">
        <v>45788</v>
      </c>
      <c r="D136" t="inlineStr">
        <is>
          <t>ÖREBRO LÄN</t>
        </is>
      </c>
      <c r="E136" t="inlineStr">
        <is>
          <t>LJUSNARSBERG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5636-2022</t>
        </is>
      </c>
      <c r="B137" s="1" t="n">
        <v>44595</v>
      </c>
      <c r="C137" s="1" t="n">
        <v>45788</v>
      </c>
      <c r="D137" t="inlineStr">
        <is>
          <t>ÖREBRO LÄN</t>
        </is>
      </c>
      <c r="E137" t="inlineStr">
        <is>
          <t>LJUSNARSBERG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7903-2022</t>
        </is>
      </c>
      <c r="B138" s="1" t="n">
        <v>44607</v>
      </c>
      <c r="C138" s="1" t="n">
        <v>45788</v>
      </c>
      <c r="D138" t="inlineStr">
        <is>
          <t>ÖREBRO LÄN</t>
        </is>
      </c>
      <c r="E138" t="inlineStr">
        <is>
          <t>LJUSNARSBERG</t>
        </is>
      </c>
      <c r="F138" t="inlineStr">
        <is>
          <t>Kyrkan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7995-2022</t>
        </is>
      </c>
      <c r="B139" s="1" t="n">
        <v>44608</v>
      </c>
      <c r="C139" s="1" t="n">
        <v>45788</v>
      </c>
      <c r="D139" t="inlineStr">
        <is>
          <t>ÖREBRO LÄN</t>
        </is>
      </c>
      <c r="E139" t="inlineStr">
        <is>
          <t>LJUSNARSBERG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45788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45788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45788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45788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45788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45788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45788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45788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45788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45788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45788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45788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45788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45788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45788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45788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45788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45788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45788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45788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45788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45788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45788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45788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45788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45788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45788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45788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45788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45788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45788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45788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45788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45788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45788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45788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45788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45788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45788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45788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45788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45788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45788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45788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45788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45788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45788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45788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45788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45788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45788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45788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45788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45788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45788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45788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45788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45788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45788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45788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45788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45788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45788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45788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45788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45788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45788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45788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45788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45788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45788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45788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45788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45788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45788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45788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45788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45788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45788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45788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45788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45788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45788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45788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45788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45788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45788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45788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45788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45788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45788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45788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45788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45788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45788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45788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45788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45788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45788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45788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45788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45788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45788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45788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45788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45788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45788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45788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45788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45788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45788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45788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45788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45788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45788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45788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45788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45788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45788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45788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45788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45788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45788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45788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45788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45788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45788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45788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45788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45788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45788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45788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45788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45788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45788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45788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45788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45788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45788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45788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45788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45788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45788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45788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45788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45788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45788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45788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45788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45788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45788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45788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45788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45788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45788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45788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45788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45788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45788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45788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45788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45788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45788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45788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45788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45788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45788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45788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45788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45788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45788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45788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45788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45788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45788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45788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45788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45788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45788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45788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45788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45788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45788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45788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45788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45788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45788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45788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45788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45788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45788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45788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45788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45788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45788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45788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45788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45788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45788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45788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45788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45788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45788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45788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45788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45788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45788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45788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45788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45788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45788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45788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45788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45788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45788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45788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45788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45788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45788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45788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45788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45788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45788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45788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45788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45788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45788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45788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45788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45788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45788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45788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45788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45788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45788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45788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45788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45788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45788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45788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45788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45788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45788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45788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45788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45788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45788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45788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45788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45788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2675-2025</t>
        </is>
      </c>
      <c r="B390" s="1" t="n">
        <v>45677</v>
      </c>
      <c r="C390" s="1" t="n">
        <v>45788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6313-2025</t>
        </is>
      </c>
      <c r="B391" s="1" t="n">
        <v>45698</v>
      </c>
      <c r="C391" s="1" t="n">
        <v>45788</v>
      </c>
      <c r="D391" t="inlineStr">
        <is>
          <t>ÖREBRO LÄN</t>
        </is>
      </c>
      <c r="E391" t="inlineStr">
        <is>
          <t>LJUSNARSBERG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6361-2025</t>
        </is>
      </c>
      <c r="B392" s="1" t="n">
        <v>45699</v>
      </c>
      <c r="C392" s="1" t="n">
        <v>45788</v>
      </c>
      <c r="D392" t="inlineStr">
        <is>
          <t>ÖREBRO LÄN</t>
        </is>
      </c>
      <c r="E392" t="inlineStr">
        <is>
          <t>LJUSNARSBERG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6351-2025</t>
        </is>
      </c>
      <c r="B393" s="1" t="n">
        <v>45699</v>
      </c>
      <c r="C393" s="1" t="n">
        <v>45788</v>
      </c>
      <c r="D393" t="inlineStr">
        <is>
          <t>ÖREBRO LÄN</t>
        </is>
      </c>
      <c r="E393" t="inlineStr">
        <is>
          <t>LJUSNARSBERG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9301-2025</t>
        </is>
      </c>
      <c r="B394" s="1" t="n">
        <v>45714</v>
      </c>
      <c r="C394" s="1" t="n">
        <v>45788</v>
      </c>
      <c r="D394" t="inlineStr">
        <is>
          <t>ÖREBRO LÄN</t>
        </is>
      </c>
      <c r="E394" t="inlineStr">
        <is>
          <t>LJUSNARSBERG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11292-2025</t>
        </is>
      </c>
      <c r="B395" s="1" t="n">
        <v>45726</v>
      </c>
      <c r="C395" s="1" t="n">
        <v>45788</v>
      </c>
      <c r="D395" t="inlineStr">
        <is>
          <t>ÖREBRO LÄN</t>
        </is>
      </c>
      <c r="E395" t="inlineStr">
        <is>
          <t>LJUSNARSBERG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11294-2025</t>
        </is>
      </c>
      <c r="B396" s="1" t="n">
        <v>45726</v>
      </c>
      <c r="C396" s="1" t="n">
        <v>45788</v>
      </c>
      <c r="D396" t="inlineStr">
        <is>
          <t>ÖREBRO LÄN</t>
        </is>
      </c>
      <c r="E396" t="inlineStr">
        <is>
          <t>LJUSNARSBERG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12171-2025</t>
        </is>
      </c>
      <c r="B397" s="1" t="n">
        <v>45729</v>
      </c>
      <c r="C397" s="1" t="n">
        <v>45788</v>
      </c>
      <c r="D397" t="inlineStr">
        <is>
          <t>ÖREBRO LÄN</t>
        </is>
      </c>
      <c r="E397" t="inlineStr">
        <is>
          <t>LJUSNARSBERG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13609-2025</t>
        </is>
      </c>
      <c r="B398" s="1" t="n">
        <v>45736</v>
      </c>
      <c r="C398" s="1" t="n">
        <v>45788</v>
      </c>
      <c r="D398" t="inlineStr">
        <is>
          <t>ÖREBRO LÄN</t>
        </is>
      </c>
      <c r="E398" t="inlineStr">
        <is>
          <t>LJUSNARSBERG</t>
        </is>
      </c>
      <c r="G398" t="n">
        <v>8.9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16470-2025</t>
        </is>
      </c>
      <c r="B399" s="1" t="n">
        <v>45751</v>
      </c>
      <c r="C399" s="1" t="n">
        <v>45788</v>
      </c>
      <c r="D399" t="inlineStr">
        <is>
          <t>ÖREBRO LÄN</t>
        </is>
      </c>
      <c r="E399" t="inlineStr">
        <is>
          <t>LJUSNARSBERG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16615-2025</t>
        </is>
      </c>
      <c r="B400" s="1" t="n">
        <v>45754</v>
      </c>
      <c r="C400" s="1" t="n">
        <v>45788</v>
      </c>
      <c r="D400" t="inlineStr">
        <is>
          <t>ÖREBRO LÄN</t>
        </is>
      </c>
      <c r="E400" t="inlineStr">
        <is>
          <t>LJUSNARSBERG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17428-2025</t>
        </is>
      </c>
      <c r="B401" s="1" t="n">
        <v>45757</v>
      </c>
      <c r="C401" s="1" t="n">
        <v>45788</v>
      </c>
      <c r="D401" t="inlineStr">
        <is>
          <t>ÖREBRO LÄN</t>
        </is>
      </c>
      <c r="E401" t="inlineStr">
        <is>
          <t>LJUSNARSBERG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18975-2025</t>
        </is>
      </c>
      <c r="B402" s="1" t="n">
        <v>45764</v>
      </c>
      <c r="C402" s="1" t="n">
        <v>45788</v>
      </c>
      <c r="D402" t="inlineStr">
        <is>
          <t>ÖREBRO LÄN</t>
        </is>
      </c>
      <c r="E402" t="inlineStr">
        <is>
          <t>LJUSNARSBERG</t>
        </is>
      </c>
      <c r="F402" t="inlineStr">
        <is>
          <t>Bergvik skog väst AB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19750-2025</t>
        </is>
      </c>
      <c r="B403" s="1" t="n">
        <v>45771</v>
      </c>
      <c r="C403" s="1" t="n">
        <v>45788</v>
      </c>
      <c r="D403" t="inlineStr">
        <is>
          <t>ÖREBRO LÄN</t>
        </is>
      </c>
      <c r="E403" t="inlineStr">
        <is>
          <t>LJUSNARSBERG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19742-2025</t>
        </is>
      </c>
      <c r="B404" s="1" t="n">
        <v>45771</v>
      </c>
      <c r="C404" s="1" t="n">
        <v>45788</v>
      </c>
      <c r="D404" t="inlineStr">
        <is>
          <t>ÖREBRO LÄN</t>
        </is>
      </c>
      <c r="E404" t="inlineStr">
        <is>
          <t>LJUSNARSBERG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19746-2025</t>
        </is>
      </c>
      <c r="B405" s="1" t="n">
        <v>45771</v>
      </c>
      <c r="C405" s="1" t="n">
        <v>45788</v>
      </c>
      <c r="D405" t="inlineStr">
        <is>
          <t>ÖREBRO LÄN</t>
        </is>
      </c>
      <c r="E405" t="inlineStr">
        <is>
          <t>LJUSNARSBERG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19754-2025</t>
        </is>
      </c>
      <c r="B406" s="1" t="n">
        <v>45771</v>
      </c>
      <c r="C406" s="1" t="n">
        <v>45788</v>
      </c>
      <c r="D406" t="inlineStr">
        <is>
          <t>ÖREBRO LÄN</t>
        </is>
      </c>
      <c r="E406" t="inlineStr">
        <is>
          <t>LJUSNARSBERG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19732-2025</t>
        </is>
      </c>
      <c r="B407" s="1" t="n">
        <v>45771</v>
      </c>
      <c r="C407" s="1" t="n">
        <v>45788</v>
      </c>
      <c r="D407" t="inlineStr">
        <is>
          <t>ÖREBRO LÄN</t>
        </is>
      </c>
      <c r="E407" t="inlineStr">
        <is>
          <t>LJUSNARSBERG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>
      <c r="A408" t="inlineStr">
        <is>
          <t>A 20673-2025</t>
        </is>
      </c>
      <c r="B408" s="1" t="n">
        <v>45776</v>
      </c>
      <c r="C408" s="1" t="n">
        <v>45788</v>
      </c>
      <c r="D408" t="inlineStr">
        <is>
          <t>ÖREBRO LÄN</t>
        </is>
      </c>
      <c r="E408" t="inlineStr">
        <is>
          <t>LJUSNARSBERG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2025-05-11T17:21:07Z</dcterms:created>
  <dcterms:modified xmlns:dcterms="http://purl.org/dc/terms/" xmlns:xsi="http://www.w3.org/2001/XMLSchema-instance" xsi:type="dcterms:W3CDTF">2025-05-11T17:21:07Z</dcterms:modified>
</cp:coreProperties>
</file>