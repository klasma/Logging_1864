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46314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46314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46314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46314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46314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46314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46314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46314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46314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46314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46314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46314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46314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18857-2026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46314</v>
      </c>
      <c r="F23" t="inlineStr">
        <is>
          <t>ÖREBRO LÄN</t>
        </is>
      </c>
      <c r="G23" t="inlineStr">
        <is>
          <t>LJUSNARSBERG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Trana</t>
        </is>
      </c>
      <c r="W23">
        <f>HYPERLINK("https://klasma.github.io/Logging_1864/artfynd/A 18857-2026 artfynd.xlsx", "A 18857-2026")</f>
        <v/>
      </c>
      <c r="X23">
        <f>HYPERLINK("https://klasma.github.io/Logging_1864/kartor/A 18857-2026 karta.png", "A 18857-2026")</f>
        <v/>
      </c>
      <c r="Y23">
        <f>HYPERLINK("https://klasma.github.io/Logging_1864/kartor_geotiff/A 18857-2026 georefererad karta.tif", "A 18857-2026")</f>
        <v/>
      </c>
      <c r="AA23">
        <f>HYPERLINK("https://klasma.github.io/Logging_1864/klagomål/A 18857-2026 FSC-klagomål.docx", "A 18857-2026")</f>
        <v/>
      </c>
      <c r="AB23">
        <f>HYPERLINK("https://klasma.github.io/Logging_1864/klagomålsmail/A 18857-2026 FSC-klagomål mail.docx", "A 18857-2026")</f>
        <v/>
      </c>
      <c r="AC23">
        <f>HYPERLINK("https://klasma.github.io/Logging_1864/tillsyn/A 18857-2026 tillsynsbegäran.docx", "A 18857-2026")</f>
        <v/>
      </c>
      <c r="AD23">
        <f>HYPERLINK("https://klasma.github.io/Logging_1864/tillsynsmail/A 18857-2026 tillsynsbegäran mail.docx", "A 18857-2026")</f>
        <v/>
      </c>
      <c r="AE23">
        <f>HYPERLINK("https://klasma.github.io/Logging_1864/fåglar/A 18857-2026 prioriterade fågelarter.docx", "A 18857-2026")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46314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46314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46314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46314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46314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46314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46314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46314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46314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46314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46314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46314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46314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46314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46314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46314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46314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46314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46314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46314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46314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46314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46314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46314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46314</v>
      </c>
      <c r="F49" t="inlineStr">
        <is>
          <t>ÖREBRO LÄN</t>
        </is>
      </c>
      <c r="G49" t="inlineStr">
        <is>
          <t>LJUSNARSBERG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46314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45399</v>
      </c>
      <c r="E51" s="1" t="n">
        <v>46314</v>
      </c>
      <c r="F51" t="inlineStr">
        <is>
          <t>ÖREBRO LÄN</t>
        </is>
      </c>
      <c r="G51" t="inlineStr">
        <is>
          <t>LJUSNARSBERG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46314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44999</v>
      </c>
      <c r="E53" s="1" t="n">
        <v>46314</v>
      </c>
      <c r="F53" t="inlineStr">
        <is>
          <t>ÖREBRO LÄN</t>
        </is>
      </c>
      <c r="G53" t="inlineStr">
        <is>
          <t>LJUSNARSBERG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46314</v>
      </c>
      <c r="F54" t="inlineStr">
        <is>
          <t>ÖREBRO LÄN</t>
        </is>
      </c>
      <c r="G54" t="inlineStr">
        <is>
          <t>LJUSNARSBERG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67746-2021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46314</v>
      </c>
      <c r="F55" t="inlineStr">
        <is>
          <t>ÖREBRO LÄN</t>
        </is>
      </c>
      <c r="G55" t="inlineStr">
        <is>
          <t>LJUSNARSBERG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46314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46314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46314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46314</v>
      </c>
      <c r="F59" t="inlineStr">
        <is>
          <t>ÖREBRO LÄN</t>
        </is>
      </c>
      <c r="G59" t="inlineStr">
        <is>
          <t>LJUSNARSBERG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22887-2024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45448</v>
      </c>
      <c r="E60" s="1" t="n">
        <v>46314</v>
      </c>
      <c r="F60" t="inlineStr">
        <is>
          <t>ÖREBRO LÄN</t>
        </is>
      </c>
      <c r="G60" t="inlineStr">
        <is>
          <t>LJUSNARSBERG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46314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52366-2024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46314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46314</v>
      </c>
      <c r="F63" t="inlineStr">
        <is>
          <t>ÖREBRO LÄN</t>
        </is>
      </c>
      <c r="G63" t="inlineStr">
        <is>
          <t>LJUSNARSBERG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44720</v>
      </c>
      <c r="E64" s="1" t="n">
        <v>46314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45086</v>
      </c>
      <c r="E65" s="1" t="n">
        <v>46314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46314</v>
      </c>
      <c r="F66" t="inlineStr">
        <is>
          <t>ÖREBRO LÄN</t>
        </is>
      </c>
      <c r="G66" t="inlineStr">
        <is>
          <t>LJUSNARSBERG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45463</v>
      </c>
      <c r="E67" s="1" t="n">
        <v>46314</v>
      </c>
      <c r="F67" t="inlineStr">
        <is>
          <t>ÖREBRO LÄN</t>
        </is>
      </c>
      <c r="G67" t="inlineStr">
        <is>
          <t>LJUSNARSBERG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46314</v>
      </c>
      <c r="F68" t="inlineStr">
        <is>
          <t>ÖREBRO LÄN</t>
        </is>
      </c>
      <c r="G68" t="inlineStr">
        <is>
          <t>LJUSNARSBERG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45035</v>
      </c>
      <c r="E69" s="1" t="n">
        <v>46314</v>
      </c>
      <c r="F69" t="inlineStr">
        <is>
          <t>ÖREBRO LÄN</t>
        </is>
      </c>
      <c r="G69" t="inlineStr">
        <is>
          <t>LJUSNARSBERG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36108-2024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46314</v>
      </c>
      <c r="F70" t="inlineStr">
        <is>
          <t>ÖREBRO LÄN</t>
        </is>
      </c>
      <c r="G70" t="inlineStr">
        <is>
          <t>LJUSNARSBERG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46314</v>
      </c>
      <c r="F71" t="inlineStr">
        <is>
          <t>ÖREBRO LÄN</t>
        </is>
      </c>
      <c r="G71" t="inlineStr">
        <is>
          <t>LJUSNARSBERG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46314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46314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46314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46314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46314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46314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46314</v>
      </c>
      <c r="F78" t="inlineStr">
        <is>
          <t>ÖREBRO LÄN</t>
        </is>
      </c>
      <c r="G78" t="inlineStr">
        <is>
          <t>LJUSNARSBERG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46314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46314</v>
      </c>
      <c r="F80" t="inlineStr">
        <is>
          <t>ÖREBRO LÄN</t>
        </is>
      </c>
      <c r="G80" t="inlineStr">
        <is>
          <t>LJUSNARSBERG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46314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46314</v>
      </c>
      <c r="F82" t="inlineStr">
        <is>
          <t>ÖREBRO LÄN</t>
        </is>
      </c>
      <c r="G82" t="inlineStr">
        <is>
          <t>LJUSNARSBERG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46314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46314</v>
      </c>
      <c r="F84" t="inlineStr">
        <is>
          <t>ÖREBRO LÄN</t>
        </is>
      </c>
      <c r="G84" t="inlineStr">
        <is>
          <t>LJUSNARSBERG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46314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46314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46314</v>
      </c>
      <c r="F87" t="inlineStr">
        <is>
          <t>ÖREBRO LÄN</t>
        </is>
      </c>
      <c r="G87" t="inlineStr">
        <is>
          <t>LJUSNARSBERG</t>
        </is>
      </c>
      <c r="I87" t="n">
        <v>17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46314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46314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46314</v>
      </c>
      <c r="F90" t="inlineStr">
        <is>
          <t>ÖREBRO LÄN</t>
        </is>
      </c>
      <c r="G90" t="inlineStr">
        <is>
          <t>LJUSNARSBERG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46314</v>
      </c>
      <c r="F91" t="inlineStr">
        <is>
          <t>ÖREBRO LÄN</t>
        </is>
      </c>
      <c r="G91" t="inlineStr">
        <is>
          <t>LJUSNARSBERG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59497-2024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45638</v>
      </c>
      <c r="E92" s="1" t="n">
        <v>46314</v>
      </c>
      <c r="F92" t="inlineStr">
        <is>
          <t>ÖREBRO LÄN</t>
        </is>
      </c>
      <c r="G92" t="inlineStr">
        <is>
          <t>LJUSNARSBERG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45124</v>
      </c>
      <c r="E93" s="1" t="n">
        <v>46314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46314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46314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46314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46314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46314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46314</v>
      </c>
      <c r="F99" t="inlineStr">
        <is>
          <t>ÖREBRO LÄN</t>
        </is>
      </c>
      <c r="G99" t="inlineStr">
        <is>
          <t>LJUSNARSBERG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46314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46314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46314</v>
      </c>
      <c r="F102" t="inlineStr">
        <is>
          <t>ÖREBRO LÄN</t>
        </is>
      </c>
      <c r="G102" t="inlineStr">
        <is>
          <t>LJUSNARSBERG</t>
        </is>
      </c>
      <c r="I102" t="n">
        <v>14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50865-2025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45946</v>
      </c>
      <c r="E103" s="1" t="n">
        <v>46314</v>
      </c>
      <c r="F103" t="inlineStr">
        <is>
          <t>ÖREBRO LÄN</t>
        </is>
      </c>
      <c r="G103" t="inlineStr">
        <is>
          <t>LJUSNARSBERG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46314</v>
      </c>
      <c r="F104" t="inlineStr">
        <is>
          <t>ÖREBRO LÄN</t>
        </is>
      </c>
      <c r="G104" t="inlineStr">
        <is>
          <t>LJUSNARSBERG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46314</v>
      </c>
      <c r="F105" t="inlineStr">
        <is>
          <t>ÖREBRO LÄN</t>
        </is>
      </c>
      <c r="G105" t="inlineStr">
        <is>
          <t>LJUSNARSBERG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46314</v>
      </c>
      <c r="F106" t="inlineStr">
        <is>
          <t>ÖREBRO LÄN</t>
        </is>
      </c>
      <c r="G106" t="inlineStr">
        <is>
          <t>LJUSNARSBERG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46314</v>
      </c>
      <c r="F107" t="inlineStr">
        <is>
          <t>ÖREBRO LÄN</t>
        </is>
      </c>
      <c r="G107" t="inlineStr">
        <is>
          <t>LJUSNARSBERG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45638</v>
      </c>
      <c r="E108" s="1" t="n">
        <v>46314</v>
      </c>
      <c r="F108" t="inlineStr">
        <is>
          <t>ÖREBRO LÄN</t>
        </is>
      </c>
      <c r="G108" t="inlineStr">
        <is>
          <t>LJUSNARSBERG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46314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46314</v>
      </c>
      <c r="F110" t="inlineStr">
        <is>
          <t>ÖREBRO LÄN</t>
        </is>
      </c>
      <c r="G110" t="inlineStr">
        <is>
          <t>LJUSNARSBERG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46314</v>
      </c>
      <c r="F111" t="inlineStr">
        <is>
          <t>ÖREBRO LÄN</t>
        </is>
      </c>
      <c r="G111" t="inlineStr">
        <is>
          <t>LJUSNARSBERG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46314</v>
      </c>
      <c r="F112" t="inlineStr">
        <is>
          <t>ÖREBRO LÄN</t>
        </is>
      </c>
      <c r="G112" t="inlineStr">
        <is>
          <t>LJUSNARSBERG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46314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46167</v>
      </c>
      <c r="E114" s="1" t="n">
        <v>46314</v>
      </c>
      <c r="F114" t="inlineStr">
        <is>
          <t>ÖREBRO LÄN</t>
        </is>
      </c>
      <c r="G114" t="inlineStr">
        <is>
          <t>LJUSNARSBERG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46314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46167</v>
      </c>
      <c r="E116" s="1" t="n">
        <v>46314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46314</v>
      </c>
      <c r="F117" t="inlineStr">
        <is>
          <t>ÖREBRO LÄN</t>
        </is>
      </c>
      <c r="G117" t="inlineStr">
        <is>
          <t>LJUSNARSBERG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46167</v>
      </c>
      <c r="E118" s="1" t="n">
        <v>46314</v>
      </c>
      <c r="F118" t="inlineStr">
        <is>
          <t>ÖREBRO LÄN</t>
        </is>
      </c>
      <c r="G118" t="inlineStr">
        <is>
          <t>LJUSNARSBERG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46314</v>
      </c>
      <c r="F119" t="inlineStr">
        <is>
          <t>ÖREBRO LÄN</t>
        </is>
      </c>
      <c r="G119" t="inlineStr">
        <is>
          <t>LJUSNARSBERG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44564</v>
      </c>
      <c r="E120" s="1" t="n">
        <v>46314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44790</v>
      </c>
      <c r="E121" s="1" t="n">
        <v>46314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46314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46314</v>
      </c>
      <c r="F123" t="inlineStr">
        <is>
          <t>ÖREBRO LÄN</t>
        </is>
      </c>
      <c r="G123" t="inlineStr">
        <is>
          <t>LJUSNARSBERG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46314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46314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46314</v>
      </c>
      <c r="F126" t="inlineStr">
        <is>
          <t>ÖREBRO LÄN</t>
        </is>
      </c>
      <c r="G126" t="inlineStr">
        <is>
          <t>LJUSNARSBERG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46314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46314</v>
      </c>
      <c r="F128" t="inlineStr">
        <is>
          <t>ÖREBRO LÄN</t>
        </is>
      </c>
      <c r="G128" t="inlineStr">
        <is>
          <t>LJUSNARSBERG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46183</v>
      </c>
      <c r="E129" s="1" t="n">
        <v>46314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46314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46314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46185</v>
      </c>
      <c r="E132" s="1" t="n">
        <v>46314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46314</v>
      </c>
      <c r="F133" t="inlineStr">
        <is>
          <t>ÖREBRO LÄN</t>
        </is>
      </c>
      <c r="G133" t="inlineStr">
        <is>
          <t>LJUSNARSBERG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46314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46314</v>
      </c>
      <c r="F135" t="inlineStr">
        <is>
          <t>ÖREBRO LÄN</t>
        </is>
      </c>
      <c r="G135" t="inlineStr">
        <is>
          <t>LJUSNARSBERG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45578</v>
      </c>
      <c r="E136" s="1" t="n">
        <v>46314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45578</v>
      </c>
      <c r="E137" s="1" t="n">
        <v>46314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44874</v>
      </c>
      <c r="E138" s="1" t="n">
        <v>46314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46314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46314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46314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46314</v>
      </c>
      <c r="F142" t="inlineStr">
        <is>
          <t>ÖREBRO LÄN</t>
        </is>
      </c>
      <c r="G142" t="inlineStr">
        <is>
          <t>LJUSNARSBERG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46314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46314</v>
      </c>
      <c r="F144" t="inlineStr">
        <is>
          <t>ÖREBRO LÄN</t>
        </is>
      </c>
      <c r="G144" t="inlineStr">
        <is>
          <t>LJUSNARSBERG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46314</v>
      </c>
      <c r="F145" t="inlineStr">
        <is>
          <t>ÖREBRO LÄN</t>
        </is>
      </c>
      <c r="G145" t="inlineStr">
        <is>
          <t>LJUSNARSBERG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46314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46314</v>
      </c>
      <c r="F147" t="inlineStr">
        <is>
          <t>ÖREBRO LÄN</t>
        </is>
      </c>
      <c r="G147" t="inlineStr">
        <is>
          <t>LJUSNARSBERG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46314</v>
      </c>
      <c r="F148" t="inlineStr">
        <is>
          <t>ÖREBRO LÄN</t>
        </is>
      </c>
      <c r="G148" t="inlineStr">
        <is>
          <t>LJUSNARSBERG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46314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45347</v>
      </c>
      <c r="E150" s="1" t="n">
        <v>46314</v>
      </c>
      <c r="F150" t="inlineStr">
        <is>
          <t>ÖREBRO LÄN</t>
        </is>
      </c>
      <c r="G150" t="inlineStr">
        <is>
          <t>LJUSNARSBERG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46279</v>
      </c>
      <c r="E151" s="1" t="n">
        <v>46314</v>
      </c>
      <c r="F151" t="inlineStr">
        <is>
          <t>ÖREBRO LÄN</t>
        </is>
      </c>
      <c r="G151" t="inlineStr">
        <is>
          <t>LJUSNARSBERG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46314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46281</v>
      </c>
      <c r="E153" s="1" t="n">
        <v>46314</v>
      </c>
      <c r="F153" t="inlineStr">
        <is>
          <t>ÖREBRO LÄN</t>
        </is>
      </c>
      <c r="G153" t="inlineStr">
        <is>
          <t>LJUSNARSBERG</t>
        </is>
      </c>
      <c r="H153" t="inlineStr">
        <is>
          <t>Kyrkan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46282</v>
      </c>
      <c r="E154" s="1" t="n">
        <v>46314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46314</v>
      </c>
      <c r="F155" t="inlineStr">
        <is>
          <t>ÖREBRO LÄN</t>
        </is>
      </c>
      <c r="G155" t="inlineStr">
        <is>
          <t>LJUSNARSBERG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44720</v>
      </c>
      <c r="E156" s="1" t="n">
        <v>46314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46314</v>
      </c>
      <c r="F157" t="inlineStr">
        <is>
          <t>ÖREBRO LÄN</t>
        </is>
      </c>
      <c r="G157" t="inlineStr">
        <is>
          <t>LJUSNARSBERG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46314</v>
      </c>
      <c r="F158" t="inlineStr">
        <is>
          <t>ÖREBRO LÄN</t>
        </is>
      </c>
      <c r="G158" t="inlineStr">
        <is>
          <t>LJUSNARSBERG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46314</v>
      </c>
      <c r="F159" t="inlineStr">
        <is>
          <t>ÖREBRO LÄN</t>
        </is>
      </c>
      <c r="G159" t="inlineStr">
        <is>
          <t>LJUSNARSBERG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46314</v>
      </c>
      <c r="F160" t="inlineStr">
        <is>
          <t>ÖREBRO LÄN</t>
        </is>
      </c>
      <c r="G160" t="inlineStr">
        <is>
          <t>LJUSNARSBERG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46314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46314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46247</v>
      </c>
      <c r="E163" s="1" t="n">
        <v>46314</v>
      </c>
      <c r="F163" t="inlineStr">
        <is>
          <t>ÖREBRO LÄN</t>
        </is>
      </c>
      <c r="G163" t="inlineStr">
        <is>
          <t>LJUSNARSBERG</t>
        </is>
      </c>
      <c r="H163" t="inlineStr">
        <is>
          <t>Kyrkan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46290</v>
      </c>
      <c r="E164" s="1" t="n">
        <v>46314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45764</v>
      </c>
      <c r="E165" s="1" t="n">
        <v>46314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46294</v>
      </c>
      <c r="E166" s="1" t="n">
        <v>46314</v>
      </c>
      <c r="F166" t="inlineStr">
        <is>
          <t>ÖREBRO LÄN</t>
        </is>
      </c>
      <c r="G166" t="inlineStr">
        <is>
          <t>LJUSNARSBERG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44694</v>
      </c>
      <c r="E168" s="1" t="n">
        <v>46314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46314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46300</v>
      </c>
      <c r="E170" s="1" t="n">
        <v>46314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46300</v>
      </c>
      <c r="E171" s="1" t="n">
        <v>46314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46314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46314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46301</v>
      </c>
      <c r="E174" s="1" t="n">
        <v>46314</v>
      </c>
      <c r="F174" t="inlineStr">
        <is>
          <t>ÖREBRO LÄN</t>
        </is>
      </c>
      <c r="G174" t="inlineStr">
        <is>
          <t>LJUSNARSBERG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28778-2024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46314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46314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46314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46301</v>
      </c>
      <c r="E178" s="1" t="n">
        <v>46314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46314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45593</v>
      </c>
      <c r="E180" s="1" t="n">
        <v>46314</v>
      </c>
      <c r="F180" t="inlineStr">
        <is>
          <t>ÖREBRO LÄN</t>
        </is>
      </c>
      <c r="G180" t="inlineStr">
        <is>
          <t>LJUSNARSBERG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46314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46314</v>
      </c>
      <c r="F182" t="inlineStr">
        <is>
          <t>ÖREBRO LÄN</t>
        </is>
      </c>
      <c r="G182" t="inlineStr">
        <is>
          <t>LJUSNARSBERG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46314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46314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46314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46314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46307</v>
      </c>
      <c r="E187" s="1" t="n">
        <v>46314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46314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20673-2025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45776</v>
      </c>
      <c r="E189" s="1" t="n">
        <v>46314</v>
      </c>
      <c r="F189" t="inlineStr">
        <is>
          <t>ÖREBRO LÄN</t>
        </is>
      </c>
      <c r="G189" t="inlineStr">
        <is>
          <t>LJUSNARSBERG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46314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46314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46314</v>
      </c>
      <c r="F192" t="inlineStr">
        <is>
          <t>ÖREBRO LÄN</t>
        </is>
      </c>
      <c r="G192" t="inlineStr">
        <is>
          <t>LJUSNARSBERG</t>
        </is>
      </c>
      <c r="H192" t="inlineStr">
        <is>
          <t>Sveaskog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46314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46314</v>
      </c>
      <c r="F194" t="inlineStr">
        <is>
          <t>ÖREBRO LÄN</t>
        </is>
      </c>
      <c r="G194" t="inlineStr">
        <is>
          <t>LJUSNARSBERG</t>
        </is>
      </c>
      <c r="H194" t="inlineStr">
        <is>
          <t>Kyrkan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46314</v>
      </c>
      <c r="F195" t="inlineStr">
        <is>
          <t>ÖREBRO LÄN</t>
        </is>
      </c>
      <c r="G195" t="inlineStr">
        <is>
          <t>LJUSNARSBERG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46314</v>
      </c>
      <c r="F196" t="inlineStr">
        <is>
          <t>ÖREBRO LÄN</t>
        </is>
      </c>
      <c r="G196" t="inlineStr">
        <is>
          <t>LJUSNARSBERG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46314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3541-2022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44734</v>
      </c>
      <c r="E198" s="1" t="n">
        <v>46314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10473-2021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44559</v>
      </c>
      <c r="E199" s="1" t="n">
        <v>46314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46314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46314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46314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46314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46314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46314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46314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46314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46314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46314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46314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2322-2026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46269</v>
      </c>
      <c r="E211" s="1" t="n">
        <v>46314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67.09999999999999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2026-10-19T02:02:58Z</dcterms:created>
  <dcterms:modified xmlns:dcterms="http://purl.org/dc/terms/" xmlns:xsi="http://www.w3.org/2001/XMLSchema-instance" xsi:type="dcterms:W3CDTF">2026-10-19T02:02:59Z</dcterms:modified>
</cp:coreProperties>
</file>