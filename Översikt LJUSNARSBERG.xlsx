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46249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46249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46249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46249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46249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46249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46249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46249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46249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46249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46249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46249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46249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46249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46249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46249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46249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46249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46249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46249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33193-2024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45518</v>
      </c>
      <c r="E22" s="1" t="n">
        <v>46249</v>
      </c>
      <c r="F22" t="inlineStr">
        <is>
          <t>ÖREBRO LÄN</t>
        </is>
      </c>
      <c r="G22" t="inlineStr">
        <is>
          <t>LJUSNARSBERG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Tjäder</t>
        </is>
      </c>
      <c r="W22">
        <f>HYPERLINK("https://klasma.github.io/Logging_1864/artfynd/A 33193-2024 artfynd.xlsx", "A 33193-2024")</f>
        <v/>
      </c>
      <c r="X22">
        <f>HYPERLINK("https://klasma.github.io/Logging_1864/kartor/A 33193-2024 karta.png", "A 33193-2024")</f>
        <v/>
      </c>
      <c r="Y22">
        <f>HYPERLINK("https://klasma.github.io/Logging_1864/kartor_geotiff/A 33193-2024 georefererad karta.tif", "A 33193-2024")</f>
        <v/>
      </c>
      <c r="AA22">
        <f>HYPERLINK("https://klasma.github.io/Logging_1864/klagomål/A 33193-2024 FSC-klagomål.docx", "A 33193-2024")</f>
        <v/>
      </c>
      <c r="AB22">
        <f>HYPERLINK("https://klasma.github.io/Logging_1864/klagomålsmail/A 33193-2024 FSC-klagomål mail.docx", "A 33193-2024")</f>
        <v/>
      </c>
      <c r="AC22">
        <f>HYPERLINK("https://klasma.github.io/Logging_1864/tillsyn/A 33193-2024 tillsynsbegäran.docx", "A 33193-2024")</f>
        <v/>
      </c>
      <c r="AD22">
        <f>HYPERLINK("https://klasma.github.io/Logging_1864/tillsynsmail/A 33193-2024 tillsynsbegäran mail.docx", "A 33193-2024")</f>
        <v/>
      </c>
      <c r="AE22">
        <f>HYPERLINK("https://klasma.github.io/Logging_1864/fåglar/A 33193-2024 prioriterade fågelarter.docx", "A 33193-2024")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46249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46249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Vedticka</t>
        </is>
      </c>
      <c r="W24">
        <f>HYPERLINK("https://klasma.github.io/Logging_1864/artfynd/A 56179-2024 artfynd.xlsx", "A 56179-2024")</f>
        <v/>
      </c>
      <c r="X24">
        <f>HYPERLINK("https://klasma.github.io/Logging_1864/kartor/A 56179-2024 karta.png", "A 56179-2024")</f>
        <v/>
      </c>
      <c r="Y24">
        <f>HYPERLINK("https://klasma.github.io/Logging_1864/kartor_geotiff/A 56179-2024 georefererad karta.tif", "A 56179-2024")</f>
        <v/>
      </c>
      <c r="AA24">
        <f>HYPERLINK("https://klasma.github.io/Logging_1864/klagomål/A 56179-2024 FSC-klagomål.docx", "A 56179-2024")</f>
        <v/>
      </c>
      <c r="AB24">
        <f>HYPERLINK("https://klasma.github.io/Logging_1864/klagomålsmail/A 56179-2024 FSC-klagomål mail.docx", "A 56179-2024")</f>
        <v/>
      </c>
      <c r="AC24">
        <f>HYPERLINK("https://klasma.github.io/Logging_1864/tillsyn/A 56179-2024 tillsynsbegäran.docx", "A 56179-2024")</f>
        <v/>
      </c>
      <c r="AD24">
        <f>HYPERLINK("https://klasma.github.io/Logging_1864/tillsynsmail/A 56179-2024 tillsynsbegäran mail.docx", "A 56179-2024")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46249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HYPERLINK("https://klasma.github.io/Logging_1864/artfynd/A 39095-2022 artfynd.xlsx", "A 39095-2022")</f>
        <v/>
      </c>
      <c r="X25">
        <f>HYPERLINK("https://klasma.github.io/Logging_1864/kartor/A 39095-2022 karta.png", "A 39095-2022")</f>
        <v/>
      </c>
      <c r="Y25">
        <f>HYPERLINK("https://klasma.github.io/Logging_1864/kartor_geotiff/A 39095-2022 georefererad karta.tif", "A 39095-2022")</f>
        <v/>
      </c>
      <c r="AA25">
        <f>HYPERLINK("https://klasma.github.io/Logging_1864/klagomål/A 39095-2022 FSC-klagomål.docx", "A 39095-2022")</f>
        <v/>
      </c>
      <c r="AB25">
        <f>HYPERLINK("https://klasma.github.io/Logging_1864/klagomålsmail/A 39095-2022 FSC-klagomål mail.docx", "A 39095-2022")</f>
        <v/>
      </c>
      <c r="AC25">
        <f>HYPERLINK("https://klasma.github.io/Logging_1864/tillsyn/A 39095-2022 tillsynsbegäran.docx", "A 39095-2022")</f>
        <v/>
      </c>
      <c r="AD25">
        <f>HYPERLINK("https://klasma.github.io/Logging_1864/tillsynsmail/A 39095-2022 tillsynsbegäran mail.docx", "A 39095-2022")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46249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46249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46249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46249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46249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46249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46249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46249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46249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46249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46249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46249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46249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46249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46249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46249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46249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46249</v>
      </c>
      <c r="F43" t="inlineStr">
        <is>
          <t>ÖREBRO LÄN</t>
        </is>
      </c>
      <c r="G43" t="inlineStr">
        <is>
          <t>LJUSNARSBERG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46249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46249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46249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46249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46249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46249</v>
      </c>
      <c r="F49" t="inlineStr">
        <is>
          <t>ÖREBRO LÄN</t>
        </is>
      </c>
      <c r="G49" t="inlineStr">
        <is>
          <t>LJUSNARSBERG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46249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45764</v>
      </c>
      <c r="E51" s="1" t="n">
        <v>46249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46249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45239</v>
      </c>
      <c r="E53" s="1" t="n">
        <v>46249</v>
      </c>
      <c r="F53" t="inlineStr">
        <is>
          <t>ÖREBRO LÄN</t>
        </is>
      </c>
      <c r="G53" t="inlineStr">
        <is>
          <t>LJUSNARSBERG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46249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46249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46249</v>
      </c>
      <c r="F56" t="inlineStr">
        <is>
          <t>ÖREBRO LÄN</t>
        </is>
      </c>
      <c r="G56" t="inlineStr">
        <is>
          <t>LJUSNARSBERG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46249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46249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46249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46249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46249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46249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46249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46249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45347</v>
      </c>
      <c r="E65" s="1" t="n">
        <v>46249</v>
      </c>
      <c r="F65" t="inlineStr">
        <is>
          <t>ÖREBRO LÄN</t>
        </is>
      </c>
      <c r="G65" t="inlineStr">
        <is>
          <t>LJUSNARSBERG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46249</v>
      </c>
      <c r="F66" t="inlineStr">
        <is>
          <t>ÖREBRO LÄN</t>
        </is>
      </c>
      <c r="G66" t="inlineStr">
        <is>
          <t>LJUSNARSBERG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46249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46249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46249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46249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46249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46249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46249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46249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46249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46249</v>
      </c>
      <c r="F76" t="inlineStr">
        <is>
          <t>ÖREBRO LÄN</t>
        </is>
      </c>
      <c r="G76" t="inlineStr">
        <is>
          <t>LJUSNARSBERG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46249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46249</v>
      </c>
      <c r="F78" t="inlineStr">
        <is>
          <t>ÖREBRO LÄN</t>
        </is>
      </c>
      <c r="G78" t="inlineStr">
        <is>
          <t>LJUSNARSBERG</t>
        </is>
      </c>
      <c r="I78" t="n">
        <v>17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44479-2025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45916</v>
      </c>
      <c r="E79" s="1" t="n">
        <v>46249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46249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59497-2024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45638</v>
      </c>
      <c r="E81" s="1" t="n">
        <v>46249</v>
      </c>
      <c r="F81" t="inlineStr">
        <is>
          <t>ÖREBRO LÄN</t>
        </is>
      </c>
      <c r="G81" t="inlineStr">
        <is>
          <t>LJUSNARSBERG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45925</v>
      </c>
      <c r="E82" s="1" t="n">
        <v>46249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22887-2024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45448</v>
      </c>
      <c r="E83" s="1" t="n">
        <v>46249</v>
      </c>
      <c r="F83" t="inlineStr">
        <is>
          <t>ÖREBRO LÄN</t>
        </is>
      </c>
      <c r="G83" t="inlineStr">
        <is>
          <t>LJUSNARSBERG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46249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46249</v>
      </c>
      <c r="F85" t="inlineStr">
        <is>
          <t>ÖREBRO LÄN</t>
        </is>
      </c>
      <c r="G85" t="inlineStr">
        <is>
          <t>LJUSNARSBERG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46249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57129-2021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46249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46249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46249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46249</v>
      </c>
      <c r="F90" t="inlineStr">
        <is>
          <t>ÖREBRO LÄN</t>
        </is>
      </c>
      <c r="G90" t="inlineStr">
        <is>
          <t>LJUSNARSBERG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46249</v>
      </c>
      <c r="F91" t="inlineStr">
        <is>
          <t>ÖREBRO LÄN</t>
        </is>
      </c>
      <c r="G91" t="inlineStr">
        <is>
          <t>LJUSNARSBERG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46249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46249</v>
      </c>
      <c r="F93" t="inlineStr">
        <is>
          <t>ÖREBRO LÄN</t>
        </is>
      </c>
      <c r="G93" t="inlineStr">
        <is>
          <t>LJUSNARSBERG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46249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46249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46249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46249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46249</v>
      </c>
      <c r="F98" t="inlineStr">
        <is>
          <t>ÖREBRO LÄN</t>
        </is>
      </c>
      <c r="G98" t="inlineStr">
        <is>
          <t>LJUSNARSBERG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46249</v>
      </c>
      <c r="F99" t="inlineStr">
        <is>
          <t>ÖREBRO LÄN</t>
        </is>
      </c>
      <c r="G99" t="inlineStr">
        <is>
          <t>LJUSNARSBERG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46249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46249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46249</v>
      </c>
      <c r="F102" t="inlineStr">
        <is>
          <t>ÖREBRO LÄN</t>
        </is>
      </c>
      <c r="G102" t="inlineStr">
        <is>
          <t>LJUSNARSBERG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45578</v>
      </c>
      <c r="E103" s="1" t="n">
        <v>46249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46249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46249</v>
      </c>
      <c r="F105" t="inlineStr">
        <is>
          <t>ÖREBRO LÄN</t>
        </is>
      </c>
      <c r="G105" t="inlineStr">
        <is>
          <t>LJUSNARSBERG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46249</v>
      </c>
      <c r="F106" t="inlineStr">
        <is>
          <t>ÖREBRO LÄN</t>
        </is>
      </c>
      <c r="G106" t="inlineStr">
        <is>
          <t>LJUSNARSBERG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46249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46249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46249</v>
      </c>
      <c r="F109" t="inlineStr">
        <is>
          <t>ÖREBRO LÄN</t>
        </is>
      </c>
      <c r="G109" t="inlineStr">
        <is>
          <t>LJUSNARSBERG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46249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46249</v>
      </c>
      <c r="F111" t="inlineStr">
        <is>
          <t>ÖREBRO LÄN</t>
        </is>
      </c>
      <c r="G111" t="inlineStr">
        <is>
          <t>LJUSNARSBERG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46249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46249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46249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46249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46249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44690</v>
      </c>
      <c r="E117" s="1" t="n">
        <v>46249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46249</v>
      </c>
      <c r="F118" t="inlineStr">
        <is>
          <t>ÖREBRO LÄN</t>
        </is>
      </c>
      <c r="G118" t="inlineStr">
        <is>
          <t>LJUSNARSBERG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46249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46249</v>
      </c>
      <c r="F120" t="inlineStr">
        <is>
          <t>ÖREBRO LÄN</t>
        </is>
      </c>
      <c r="G120" t="inlineStr">
        <is>
          <t>LJUSNARSBERG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46249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46249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46249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46249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46249</v>
      </c>
      <c r="F125" t="inlineStr">
        <is>
          <t>ÖREBRO LÄN</t>
        </is>
      </c>
      <c r="G125" t="inlineStr">
        <is>
          <t>LJUSNARSBERG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44720</v>
      </c>
      <c r="E126" s="1" t="n">
        <v>46249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46249</v>
      </c>
      <c r="F127" t="inlineStr">
        <is>
          <t>ÖREBRO LÄN</t>
        </is>
      </c>
      <c r="G127" t="inlineStr">
        <is>
          <t>LJUSNARSBERG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46249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46249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46249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46249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46249</v>
      </c>
      <c r="F132" t="inlineStr">
        <is>
          <t>ÖREBRO LÄN</t>
        </is>
      </c>
      <c r="G132" t="inlineStr">
        <is>
          <t>LJUSNARSBERG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46249</v>
      </c>
      <c r="F133" t="inlineStr">
        <is>
          <t>ÖREBRO LÄN</t>
        </is>
      </c>
      <c r="G133" t="inlineStr">
        <is>
          <t>LJUSNARSBERG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46249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46249</v>
      </c>
      <c r="F135" t="inlineStr">
        <is>
          <t>ÖREBRO LÄN</t>
        </is>
      </c>
      <c r="G135" t="inlineStr">
        <is>
          <t>LJUSNARSBERG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45030</v>
      </c>
      <c r="E136" s="1" t="n">
        <v>46249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46249</v>
      </c>
      <c r="F137" t="inlineStr">
        <is>
          <t>ÖREBRO LÄN</t>
        </is>
      </c>
      <c r="G137" t="inlineStr">
        <is>
          <t>LJUSNARSBERG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46249</v>
      </c>
      <c r="F138" t="inlineStr">
        <is>
          <t>ÖREBRO LÄN</t>
        </is>
      </c>
      <c r="G138" t="inlineStr">
        <is>
          <t>LJUSNARSBERG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46249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46249</v>
      </c>
      <c r="F140" t="inlineStr">
        <is>
          <t>ÖREBRO LÄN</t>
        </is>
      </c>
      <c r="G140" t="inlineStr">
        <is>
          <t>LJUSNARSBERG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46249</v>
      </c>
      <c r="F141" t="inlineStr">
        <is>
          <t>ÖREBRO LÄN</t>
        </is>
      </c>
      <c r="G141" t="inlineStr">
        <is>
          <t>LJUSNARSBERG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44874</v>
      </c>
      <c r="E142" s="1" t="n">
        <v>46249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46249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46249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46249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46263-2021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46249</v>
      </c>
      <c r="F146" t="inlineStr">
        <is>
          <t>ÖREBRO LÄN</t>
        </is>
      </c>
      <c r="G146" t="inlineStr">
        <is>
          <t>LJUSNARSBERG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46249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44438</v>
      </c>
      <c r="E148" s="1" t="n">
        <v>46249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46249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46249</v>
      </c>
      <c r="F150" t="inlineStr">
        <is>
          <t>ÖREBRO LÄN</t>
        </is>
      </c>
      <c r="G150" t="inlineStr">
        <is>
          <t>LJUSNARSBERG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46249</v>
      </c>
      <c r="F151" t="inlineStr">
        <is>
          <t>ÖREBRO LÄN</t>
        </is>
      </c>
      <c r="G151" t="inlineStr">
        <is>
          <t>LJUSNARSBERG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46249</v>
      </c>
      <c r="F152" t="inlineStr">
        <is>
          <t>ÖREBRO LÄN</t>
        </is>
      </c>
      <c r="G152" t="inlineStr">
        <is>
          <t>LJUSNARSBERG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46249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46249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46249</v>
      </c>
      <c r="F155" t="inlineStr">
        <is>
          <t>ÖREBRO LÄN</t>
        </is>
      </c>
      <c r="G155" t="inlineStr">
        <is>
          <t>LJUSNARSBERG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46249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46249</v>
      </c>
      <c r="F157" t="inlineStr">
        <is>
          <t>ÖREBRO LÄN</t>
        </is>
      </c>
      <c r="G157" t="inlineStr">
        <is>
          <t>LJUSNARSBERG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46249</v>
      </c>
      <c r="F158" t="inlineStr">
        <is>
          <t>ÖREBRO LÄN</t>
        </is>
      </c>
      <c r="G158" t="inlineStr">
        <is>
          <t>LJUSNARSBERG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46249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59495-2024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45638</v>
      </c>
      <c r="E160" s="1" t="n">
        <v>46249</v>
      </c>
      <c r="F160" t="inlineStr">
        <is>
          <t>ÖREBRO LÄN</t>
        </is>
      </c>
      <c r="G160" t="inlineStr">
        <is>
          <t>LJUSNARSBERG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46249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46249</v>
      </c>
      <c r="F162" t="inlineStr">
        <is>
          <t>ÖREBRO LÄN</t>
        </is>
      </c>
      <c r="G162" t="inlineStr">
        <is>
          <t>LJUSNARSBERG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46249</v>
      </c>
      <c r="F163" t="inlineStr">
        <is>
          <t>ÖREBRO LÄN</t>
        </is>
      </c>
      <c r="G163" t="inlineStr">
        <is>
          <t>LJUSNARSBERG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46249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46249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46249</v>
      </c>
      <c r="F166" t="inlineStr">
        <is>
          <t>ÖREBRO LÄN</t>
        </is>
      </c>
      <c r="G166" t="inlineStr">
        <is>
          <t>LJUSNARSBERG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46249</v>
      </c>
      <c r="F167" t="inlineStr">
        <is>
          <t>ÖREBRO LÄN</t>
        </is>
      </c>
      <c r="G167" t="inlineStr">
        <is>
          <t>LJUSNARSBERG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46249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46249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46249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46249</v>
      </c>
      <c r="F171" t="inlineStr">
        <is>
          <t>ÖREBRO LÄN</t>
        </is>
      </c>
      <c r="G171" t="inlineStr">
        <is>
          <t>LJUSNARSBERG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46249</v>
      </c>
      <c r="F172" t="inlineStr">
        <is>
          <t>ÖREBRO LÄN</t>
        </is>
      </c>
      <c r="G172" t="inlineStr">
        <is>
          <t>LJUSNARSBERG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46249</v>
      </c>
      <c r="F173" t="inlineStr">
        <is>
          <t>ÖREBRO LÄN</t>
        </is>
      </c>
      <c r="G173" t="inlineStr">
        <is>
          <t>LJUSNARSBERG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46249</v>
      </c>
      <c r="F174" t="inlineStr">
        <is>
          <t>ÖREBRO LÄN</t>
        </is>
      </c>
      <c r="G174" t="inlineStr">
        <is>
          <t>LJUSNARSBERG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46249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46249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46249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46249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46249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46249</v>
      </c>
      <c r="F180" t="inlineStr">
        <is>
          <t>ÖREBRO LÄN</t>
        </is>
      </c>
      <c r="G180" t="inlineStr">
        <is>
          <t>LJUSNARSBERG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46249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46249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45217</v>
      </c>
      <c r="E183" s="1" t="n">
        <v>46249</v>
      </c>
      <c r="F183" t="inlineStr">
        <is>
          <t>ÖREBRO LÄN</t>
        </is>
      </c>
      <c r="G183" t="inlineStr">
        <is>
          <t>LJUSNARSBERG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20673-2025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45776</v>
      </c>
      <c r="E184" s="1" t="n">
        <v>46249</v>
      </c>
      <c r="F184" t="inlineStr">
        <is>
          <t>ÖREBRO LÄN</t>
        </is>
      </c>
      <c r="G184" t="inlineStr">
        <is>
          <t>LJUSNARSBERG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46249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46249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46249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46249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46249</v>
      </c>
      <c r="F189" t="inlineStr">
        <is>
          <t>ÖREBRO LÄN</t>
        </is>
      </c>
      <c r="G189" t="inlineStr">
        <is>
          <t>LJUSNARSBERG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46249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46249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46249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46249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46249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46249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46249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46249</v>
      </c>
      <c r="F197" t="inlineStr">
        <is>
          <t>ÖREBRO LÄN</t>
        </is>
      </c>
      <c r="G197" t="inlineStr">
        <is>
          <t>LJUSNARSBERG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46249</v>
      </c>
      <c r="F198" t="inlineStr">
        <is>
          <t>ÖREBRO LÄN</t>
        </is>
      </c>
      <c r="G198" t="inlineStr">
        <is>
          <t>LJUSNARSBERG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46246</v>
      </c>
      <c r="E199" s="1" t="n">
        <v>46249</v>
      </c>
      <c r="F199" t="inlineStr">
        <is>
          <t>ÖREBRO LÄN</t>
        </is>
      </c>
      <c r="G199" t="inlineStr">
        <is>
          <t>LJUSNARSBERG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46247</v>
      </c>
      <c r="E200" s="1" t="n">
        <v>46249</v>
      </c>
      <c r="F200" t="inlineStr">
        <is>
          <t>ÖREBRO LÄN</t>
        </is>
      </c>
      <c r="G200" t="inlineStr">
        <is>
          <t>LJUSNARSBERG</t>
        </is>
      </c>
      <c r="H200" t="inlineStr">
        <is>
          <t>Kyrkan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46249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46249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46249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46249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46249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46249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7278-2021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46249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4521-2023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45275</v>
      </c>
      <c r="E208" s="1" t="n">
        <v>46249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7277-2021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46249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2836-2023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45167</v>
      </c>
      <c r="E210" s="1" t="n">
        <v>46249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707-2025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45720</v>
      </c>
      <c r="E211" s="1" t="n">
        <v>46249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1972-2025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45832</v>
      </c>
      <c r="E212" s="1" t="n">
        <v>46249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3578-2025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46010</v>
      </c>
      <c r="E213" s="1" t="n">
        <v>46249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603-2026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46085</v>
      </c>
      <c r="E214" s="1" t="n">
        <v>46249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125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1743-2026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46185</v>
      </c>
      <c r="E215" s="1" t="n">
        <v>46249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46249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2026-08-15T08:26:35Z</dcterms:created>
  <dcterms:modified xmlns:dcterms="http://purl.org/dc/terms/" xmlns:xsi="http://www.w3.org/2001/XMLSchema-instance" xsi:type="dcterms:W3CDTF">2026-08-15T08:26:35Z</dcterms:modified>
</cp:coreProperties>
</file>