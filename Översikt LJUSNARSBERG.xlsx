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46171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46171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45797-2021</t>
        </is>
      </c>
      <c r="B4" s="1" t="n">
        <v>44441</v>
      </c>
      <c r="C4" s="1" t="n">
        <v>46171</v>
      </c>
      <c r="D4" t="inlineStr">
        <is>
          <t>ÖREBRO LÄN</t>
        </is>
      </c>
      <c r="E4" t="inlineStr">
        <is>
          <t>LJUSNARSBERG</t>
        </is>
      </c>
      <c r="G4" t="n">
        <v>9.9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Talltita
Vedticka
Kungsfågel</t>
        </is>
      </c>
      <c r="S4">
        <f>HYPERLINK("https://klasma.github.io/Logging_1864/artfynd/A 45797-2021 artfynd.xlsx", "A 45797-2021")</f>
        <v/>
      </c>
      <c r="T4">
        <f>HYPERLINK("https://klasma.github.io/Logging_1864/kartor/A 45797-2021 karta.png", "A 45797-2021")</f>
        <v/>
      </c>
      <c r="V4">
        <f>HYPERLINK("https://klasma.github.io/Logging_1864/klagomål/A 45797-2021 FSC-klagomål.docx", "A 45797-2021")</f>
        <v/>
      </c>
      <c r="W4">
        <f>HYPERLINK("https://klasma.github.io/Logging_1864/klagomålsmail/A 45797-2021 FSC-klagomål mail.docx", "A 45797-2021")</f>
        <v/>
      </c>
      <c r="X4">
        <f>HYPERLINK("https://klasma.github.io/Logging_1864/tillsyn/A 45797-2021 tillsynsbegäran.docx", "A 45797-2021")</f>
        <v/>
      </c>
      <c r="Y4">
        <f>HYPERLINK("https://klasma.github.io/Logging_1864/tillsynsmail/A 45797-2021 tillsynsbegäran mail.docx", "A 45797-2021")</f>
        <v/>
      </c>
      <c r="Z4">
        <f>HYPERLINK("https://klasma.github.io/Logging_1864/fåglar/A 45797-2021 prioriterade fågelarter.docx", "A 45797-2021")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46171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11444-2026</t>
        </is>
      </c>
      <c r="B6" s="1" t="n">
        <v>46083</v>
      </c>
      <c r="C6" s="1" t="n">
        <v>46171</v>
      </c>
      <c r="D6" t="inlineStr">
        <is>
          <t>ÖREBRO LÄN</t>
        </is>
      </c>
      <c r="E6" t="inlineStr">
        <is>
          <t>LJUSNARSBERG</t>
        </is>
      </c>
      <c r="G6" t="n">
        <v>41.9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Mindre märgborre
Kungsfågel
Tjäder
Mattlummer</t>
        </is>
      </c>
      <c r="S6">
        <f>HYPERLINK("https://klasma.github.io/Logging_1864/artfynd/A 11444-2026 artfynd.xlsx", "A 11444-2026")</f>
        <v/>
      </c>
      <c r="T6">
        <f>HYPERLINK("https://klasma.github.io/Logging_1864/kartor/A 11444-2026 karta.png", "A 11444-2026")</f>
        <v/>
      </c>
      <c r="V6">
        <f>HYPERLINK("https://klasma.github.io/Logging_1864/klagomål/A 11444-2026 FSC-klagomål.docx", "A 11444-2026")</f>
        <v/>
      </c>
      <c r="W6">
        <f>HYPERLINK("https://klasma.github.io/Logging_1864/klagomålsmail/A 11444-2026 FSC-klagomål mail.docx", "A 11444-2026")</f>
        <v/>
      </c>
      <c r="X6">
        <f>HYPERLINK("https://klasma.github.io/Logging_1864/tillsyn/A 11444-2026 tillsynsbegäran.docx", "A 11444-2026")</f>
        <v/>
      </c>
      <c r="Y6">
        <f>HYPERLINK("https://klasma.github.io/Logging_1864/tillsynsmail/A 11444-2026 tillsynsbegäran mail.docx", "A 11444-2026")</f>
        <v/>
      </c>
      <c r="Z6">
        <f>HYPERLINK("https://klasma.github.io/Logging_1864/fåglar/A 11444-2026 prioriterade fågelarter.docx", "A 11444-2026")</f>
        <v/>
      </c>
    </row>
    <row r="7" ht="15" customHeight="1">
      <c r="A7" t="inlineStr">
        <is>
          <t>A 18853-2026</t>
        </is>
      </c>
      <c r="B7" s="1" t="n">
        <v>46127</v>
      </c>
      <c r="C7" s="1" t="n">
        <v>46171</v>
      </c>
      <c r="D7" t="inlineStr">
        <is>
          <t>ÖREBRO LÄN</t>
        </is>
      </c>
      <c r="E7" t="inlineStr">
        <is>
          <t>LJUSNARSBERG</t>
        </is>
      </c>
      <c r="G7" t="n">
        <v>9.5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Spillkråka
Bronshjon
Grönsiska
Kungsfågel</t>
        </is>
      </c>
      <c r="S7">
        <f>HYPERLINK("https://klasma.github.io/Logging_1864/artfynd/A 18853-2026 artfynd.xlsx", "A 18853-2026")</f>
        <v/>
      </c>
      <c r="T7">
        <f>HYPERLINK("https://klasma.github.io/Logging_1864/kartor/A 18853-2026 karta.png", "A 18853-2026")</f>
        <v/>
      </c>
      <c r="V7">
        <f>HYPERLINK("https://klasma.github.io/Logging_1864/klagomål/A 18853-2026 FSC-klagomål.docx", "A 18853-2026")</f>
        <v/>
      </c>
      <c r="W7">
        <f>HYPERLINK("https://klasma.github.io/Logging_1864/klagomålsmail/A 18853-2026 FSC-klagomål mail.docx", "A 18853-2026")</f>
        <v/>
      </c>
      <c r="X7">
        <f>HYPERLINK("https://klasma.github.io/Logging_1864/tillsyn/A 18853-2026 tillsynsbegäran.docx", "A 18853-2026")</f>
        <v/>
      </c>
      <c r="Y7">
        <f>HYPERLINK("https://klasma.github.io/Logging_1864/tillsynsmail/A 18853-2026 tillsynsbegäran mail.docx", "A 18853-2026")</f>
        <v/>
      </c>
      <c r="Z7">
        <f>HYPERLINK("https://klasma.github.io/Logging_1864/fåglar/A 18853-2026 prioriterade fågelarter.docx", "A 18853-2026")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46171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46171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43996-2021</t>
        </is>
      </c>
      <c r="B10" s="1" t="n">
        <v>44434</v>
      </c>
      <c r="C10" s="1" t="n">
        <v>46171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Fläcknycklar
Nattviol</t>
        </is>
      </c>
      <c r="S10">
        <f>HYPERLINK("https://klasma.github.io/Logging_1864/artfynd/A 43996-2021 artfynd.xlsx", "A 43996-2021")</f>
        <v/>
      </c>
      <c r="T10">
        <f>HYPERLINK("https://klasma.github.io/Logging_1864/kartor/A 43996-2021 karta.png", "A 43996-2021")</f>
        <v/>
      </c>
      <c r="V10">
        <f>HYPERLINK("https://klasma.github.io/Logging_1864/klagomål/A 43996-2021 FSC-klagomål.docx", "A 43996-2021")</f>
        <v/>
      </c>
      <c r="W10">
        <f>HYPERLINK("https://klasma.github.io/Logging_1864/klagomålsmail/A 43996-2021 FSC-klagomål mail.docx", "A 43996-2021")</f>
        <v/>
      </c>
      <c r="X10">
        <f>HYPERLINK("https://klasma.github.io/Logging_1864/tillsyn/A 43996-2021 tillsynsbegäran.docx", "A 43996-2021")</f>
        <v/>
      </c>
      <c r="Y10">
        <f>HYPERLINK("https://klasma.github.io/Logging_1864/tillsynsmail/A 43996-2021 tillsynsbegäran mail.docx", "A 43996-2021")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46171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46171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46171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19645-2026</t>
        </is>
      </c>
      <c r="B14" s="1" t="n">
        <v>46133</v>
      </c>
      <c r="C14" s="1" t="n">
        <v>46171</v>
      </c>
      <c r="D14" t="inlineStr">
        <is>
          <t>ÖREBRO LÄN</t>
        </is>
      </c>
      <c r="E14" t="inlineStr">
        <is>
          <t>LJUSNARSBERG</t>
        </is>
      </c>
      <c r="G14" t="n">
        <v>20.2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Trådticka</t>
        </is>
      </c>
      <c r="S14">
        <f>HYPERLINK("https://klasma.github.io/Logging_1864/artfynd/A 19645-2026 artfynd.xlsx", "A 19645-2026")</f>
        <v/>
      </c>
      <c r="T14">
        <f>HYPERLINK("https://klasma.github.io/Logging_1864/kartor/A 19645-2026 karta.png", "A 19645-2026")</f>
        <v/>
      </c>
      <c r="V14">
        <f>HYPERLINK("https://klasma.github.io/Logging_1864/klagomål/A 19645-2026 FSC-klagomål.docx", "A 19645-2026")</f>
        <v/>
      </c>
      <c r="W14">
        <f>HYPERLINK("https://klasma.github.io/Logging_1864/klagomålsmail/A 19645-2026 FSC-klagomål mail.docx", "A 19645-2026")</f>
        <v/>
      </c>
      <c r="X14">
        <f>HYPERLINK("https://klasma.github.io/Logging_1864/tillsyn/A 19645-2026 tillsynsbegäran.docx", "A 19645-2026")</f>
        <v/>
      </c>
      <c r="Y14">
        <f>HYPERLINK("https://klasma.github.io/Logging_1864/tillsynsmail/A 19645-2026 tillsynsbegäran mail.docx", "A 19645-2026")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46171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46171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46171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46171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13233-2023</t>
        </is>
      </c>
      <c r="B19" s="1" t="n">
        <v>45002.7306712963</v>
      </c>
      <c r="C19" s="1" t="n">
        <v>46171</v>
      </c>
      <c r="D19" t="inlineStr">
        <is>
          <t>ÖREBRO LÄN</t>
        </is>
      </c>
      <c r="E19" t="inlineStr">
        <is>
          <t>LJUSNARSBERG</t>
        </is>
      </c>
      <c r="G19" t="n">
        <v>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Tunnvingemätare</t>
        </is>
      </c>
      <c r="S19">
        <f>HYPERLINK("https://klasma.github.io/Logging_1864/artfynd/A 13233-2023 artfynd.xlsx", "A 13233-2023")</f>
        <v/>
      </c>
      <c r="T19">
        <f>HYPERLINK("https://klasma.github.io/Logging_1864/kartor/A 13233-2023 karta.png", "A 13233-2023")</f>
        <v/>
      </c>
      <c r="V19">
        <f>HYPERLINK("https://klasma.github.io/Logging_1864/klagomål/A 13233-2023 FSC-klagomål.docx", "A 13233-2023")</f>
        <v/>
      </c>
      <c r="W19">
        <f>HYPERLINK("https://klasma.github.io/Logging_1864/klagomålsmail/A 13233-2023 FSC-klagomål mail.docx", "A 13233-2023")</f>
        <v/>
      </c>
      <c r="X19">
        <f>HYPERLINK("https://klasma.github.io/Logging_1864/tillsyn/A 13233-2023 tillsynsbegäran.docx", "A 13233-2023")</f>
        <v/>
      </c>
      <c r="Y19">
        <f>HYPERLINK("https://klasma.github.io/Logging_1864/tillsynsmail/A 13233-2023 tillsynsbegäran mail.docx", "A 13233-2023")</f>
        <v/>
      </c>
    </row>
    <row r="20" ht="15" customHeight="1">
      <c r="A20" t="inlineStr">
        <is>
          <t>A 18857-2026</t>
        </is>
      </c>
      <c r="B20" s="1" t="n">
        <v>46127</v>
      </c>
      <c r="C20" s="1" t="n">
        <v>46171</v>
      </c>
      <c r="D20" t="inlineStr">
        <is>
          <t>ÖREBRO LÄN</t>
        </is>
      </c>
      <c r="E20" t="inlineStr">
        <is>
          <t>LJUSNARSBERG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HYPERLINK("https://klasma.github.io/Logging_1864/artfynd/A 18857-2026 artfynd.xlsx", "A 18857-2026")</f>
        <v/>
      </c>
      <c r="T20">
        <f>HYPERLINK("https://klasma.github.io/Logging_1864/kartor/A 18857-2026 karta.png", "A 18857-2026")</f>
        <v/>
      </c>
      <c r="V20">
        <f>HYPERLINK("https://klasma.github.io/Logging_1864/klagomål/A 18857-2026 FSC-klagomål.docx", "A 18857-2026")</f>
        <v/>
      </c>
      <c r="W20">
        <f>HYPERLINK("https://klasma.github.io/Logging_1864/klagomålsmail/A 18857-2026 FSC-klagomål mail.docx", "A 18857-2026")</f>
        <v/>
      </c>
      <c r="X20">
        <f>HYPERLINK("https://klasma.github.io/Logging_1864/tillsyn/A 18857-2026 tillsynsbegäran.docx", "A 18857-2026")</f>
        <v/>
      </c>
      <c r="Y20">
        <f>HYPERLINK("https://klasma.github.io/Logging_1864/tillsynsmail/A 18857-2026 tillsynsbegäran mail.docx", "A 18857-2026")</f>
        <v/>
      </c>
      <c r="Z20">
        <f>HYPERLINK("https://klasma.github.io/Logging_1864/fåglar/A 18857-2026 prioriterade fågelarter.docx", "A 18857-2026")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46171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46171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46171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46171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46171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46171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46171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46171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46171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46171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46171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46171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46171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46171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46171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46171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46171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46171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46171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46171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46171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46171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46171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48353-2022</t>
        </is>
      </c>
      <c r="B44" s="1" t="n">
        <v>44858.57143518519</v>
      </c>
      <c r="C44" s="1" t="n">
        <v>46171</v>
      </c>
      <c r="D44" t="inlineStr">
        <is>
          <t>ÖREBRO LÄN</t>
        </is>
      </c>
      <c r="E44" t="inlineStr">
        <is>
          <t>LJUSNARSBERG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13803-2024</t>
        </is>
      </c>
      <c r="B45" s="1" t="n">
        <v>45390</v>
      </c>
      <c r="C45" s="1" t="n">
        <v>46171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46171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13389-2024</t>
        </is>
      </c>
      <c r="B47" s="1" t="n">
        <v>45387.40418981481</v>
      </c>
      <c r="C47" s="1" t="n">
        <v>46171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6313-2025</t>
        </is>
      </c>
      <c r="B48" s="1" t="n">
        <v>45698</v>
      </c>
      <c r="C48" s="1" t="n">
        <v>46171</v>
      </c>
      <c r="D48" t="inlineStr">
        <is>
          <t>ÖREBRO LÄN</t>
        </is>
      </c>
      <c r="E48" t="inlineStr">
        <is>
          <t>LJUSNARSBERG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48780-2024</t>
        </is>
      </c>
      <c r="B49" s="1" t="n">
        <v>45593</v>
      </c>
      <c r="C49" s="1" t="n">
        <v>46171</v>
      </c>
      <c r="D49" t="inlineStr">
        <is>
          <t>ÖREBRO LÄN</t>
        </is>
      </c>
      <c r="E49" t="inlineStr">
        <is>
          <t>LJUSNARSBERG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46171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46171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30172-2023</t>
        </is>
      </c>
      <c r="B52" s="1" t="n">
        <v>45110.5818287037</v>
      </c>
      <c r="C52" s="1" t="n">
        <v>46171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34926-2023</t>
        </is>
      </c>
      <c r="B53" s="1" t="n">
        <v>45142.49333333333</v>
      </c>
      <c r="C53" s="1" t="n">
        <v>46171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44780-2024</t>
        </is>
      </c>
      <c r="B54" s="1" t="n">
        <v>45574</v>
      </c>
      <c r="C54" s="1" t="n">
        <v>46171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4989-2023</t>
        </is>
      </c>
      <c r="B55" s="1" t="n">
        <v>44956</v>
      </c>
      <c r="C55" s="1" t="n">
        <v>46171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30774-2023</t>
        </is>
      </c>
      <c r="B56" s="1" t="n">
        <v>45112.6903125</v>
      </c>
      <c r="C56" s="1" t="n">
        <v>46171</v>
      </c>
      <c r="D56" t="inlineStr">
        <is>
          <t>ÖREBRO LÄN</t>
        </is>
      </c>
      <c r="E56" t="inlineStr">
        <is>
          <t>LJUSNARSBERG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31763-2023</t>
        </is>
      </c>
      <c r="B57" s="1" t="n">
        <v>45106</v>
      </c>
      <c r="C57" s="1" t="n">
        <v>46171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46171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46171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46171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33974-2023</t>
        </is>
      </c>
      <c r="B61" s="1" t="n">
        <v>45124</v>
      </c>
      <c r="C61" s="1" t="n">
        <v>46171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33979-2023</t>
        </is>
      </c>
      <c r="B62" s="1" t="n">
        <v>45124</v>
      </c>
      <c r="C62" s="1" t="n">
        <v>46171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46171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7499-2024</t>
        </is>
      </c>
      <c r="B64" s="1" t="n">
        <v>45347.84356481482</v>
      </c>
      <c r="C64" s="1" t="n">
        <v>46171</v>
      </c>
      <c r="D64" t="inlineStr">
        <is>
          <t>ÖREBRO LÄN</t>
        </is>
      </c>
      <c r="E64" t="inlineStr">
        <is>
          <t>LJUSNARSBERG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24385-2025</t>
        </is>
      </c>
      <c r="B65" s="1" t="n">
        <v>45797</v>
      </c>
      <c r="C65" s="1" t="n">
        <v>46171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39234-2025</t>
        </is>
      </c>
      <c r="B66" s="1" t="n">
        <v>45889.33067129629</v>
      </c>
      <c r="C66" s="1" t="n">
        <v>46171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35378-2024</t>
        </is>
      </c>
      <c r="B67" s="1" t="n">
        <v>45531</v>
      </c>
      <c r="C67" s="1" t="n">
        <v>46171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63411-2025</t>
        </is>
      </c>
      <c r="B68" s="1" t="n">
        <v>46013.30025462963</v>
      </c>
      <c r="C68" s="1" t="n">
        <v>46171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39514-2025</t>
        </is>
      </c>
      <c r="B69" s="1" t="n">
        <v>45890.41994212963</v>
      </c>
      <c r="C69" s="1" t="n">
        <v>46171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53789-2022</t>
        </is>
      </c>
      <c r="B70" s="1" t="n">
        <v>44880.49702546297</v>
      </c>
      <c r="C70" s="1" t="n">
        <v>46171</v>
      </c>
      <c r="D70" t="inlineStr">
        <is>
          <t>ÖREBRO LÄN</t>
        </is>
      </c>
      <c r="E70" t="inlineStr">
        <is>
          <t>LJUSNARSBERG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40442-2024</t>
        </is>
      </c>
      <c r="B71" s="1" t="n">
        <v>45555.48539351852</v>
      </c>
      <c r="C71" s="1" t="n">
        <v>46171</v>
      </c>
      <c r="D71" t="inlineStr">
        <is>
          <t>ÖREBRO LÄN</t>
        </is>
      </c>
      <c r="E71" t="inlineStr">
        <is>
          <t>LJUSNARSBERG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46171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46171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46171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40852-2025</t>
        </is>
      </c>
      <c r="B75" s="1" t="n">
        <v>45897</v>
      </c>
      <c r="C75" s="1" t="n">
        <v>46171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41032-2025</t>
        </is>
      </c>
      <c r="B76" s="1" t="n">
        <v>45897</v>
      </c>
      <c r="C76" s="1" t="n">
        <v>46171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40854-2025</t>
        </is>
      </c>
      <c r="B77" s="1" t="n">
        <v>45897</v>
      </c>
      <c r="C77" s="1" t="n">
        <v>46171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41383-2025</t>
        </is>
      </c>
      <c r="B78" s="1" t="n">
        <v>45898</v>
      </c>
      <c r="C78" s="1" t="n">
        <v>46171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46171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41017-2025</t>
        </is>
      </c>
      <c r="B80" s="1" t="n">
        <v>45897</v>
      </c>
      <c r="C80" s="1" t="n">
        <v>46171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41420-2025</t>
        </is>
      </c>
      <c r="B81" s="1" t="n">
        <v>45898</v>
      </c>
      <c r="C81" s="1" t="n">
        <v>46171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40964-2025</t>
        </is>
      </c>
      <c r="B82" s="1" t="n">
        <v>45897</v>
      </c>
      <c r="C82" s="1" t="n">
        <v>46171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59497-2024</t>
        </is>
      </c>
      <c r="B83" s="1" t="n">
        <v>45638.5459375</v>
      </c>
      <c r="C83" s="1" t="n">
        <v>46171</v>
      </c>
      <c r="D83" t="inlineStr">
        <is>
          <t>ÖREBRO LÄN</t>
        </is>
      </c>
      <c r="E83" t="inlineStr">
        <is>
          <t>LJUSNARSBERG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22887-2024</t>
        </is>
      </c>
      <c r="B84" s="1" t="n">
        <v>45448</v>
      </c>
      <c r="C84" s="1" t="n">
        <v>46171</v>
      </c>
      <c r="D84" t="inlineStr">
        <is>
          <t>ÖREBRO LÄN</t>
        </is>
      </c>
      <c r="E84" t="inlineStr">
        <is>
          <t>LJUSNARSBERG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26469-2025</t>
        </is>
      </c>
      <c r="B85" s="1" t="n">
        <v>45807.45302083333</v>
      </c>
      <c r="C85" s="1" t="n">
        <v>46171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12482-2023</t>
        </is>
      </c>
      <c r="B86" s="1" t="n">
        <v>44999.65438657408</v>
      </c>
      <c r="C86" s="1" t="n">
        <v>46171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37148-2023</t>
        </is>
      </c>
      <c r="B87" s="1" t="n">
        <v>45155</v>
      </c>
      <c r="C87" s="1" t="n">
        <v>46171</v>
      </c>
      <c r="D87" t="inlineStr">
        <is>
          <t>ÖREBRO LÄN</t>
        </is>
      </c>
      <c r="E87" t="inlineStr">
        <is>
          <t>LJUSNARSBERG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46171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20673-2025</t>
        </is>
      </c>
      <c r="B89" s="1" t="n">
        <v>45776</v>
      </c>
      <c r="C89" s="1" t="n">
        <v>46171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27343-2025</t>
        </is>
      </c>
      <c r="B90" s="1" t="n">
        <v>45812.61828703704</v>
      </c>
      <c r="C90" s="1" t="n">
        <v>46171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27341-2025</t>
        </is>
      </c>
      <c r="B91" s="1" t="n">
        <v>45812.61592592593</v>
      </c>
      <c r="C91" s="1" t="n">
        <v>46171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46171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45538-2024</t>
        </is>
      </c>
      <c r="B93" s="1" t="n">
        <v>45578</v>
      </c>
      <c r="C93" s="1" t="n">
        <v>46171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19754-2025</t>
        </is>
      </c>
      <c r="B94" s="1" t="n">
        <v>45771.38807870371</v>
      </c>
      <c r="C94" s="1" t="n">
        <v>46171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44760-2024</t>
        </is>
      </c>
      <c r="B95" s="1" t="n">
        <v>45574</v>
      </c>
      <c r="C95" s="1" t="n">
        <v>46171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43638-2025</t>
        </is>
      </c>
      <c r="B96" s="1" t="n">
        <v>45911.73936342593</v>
      </c>
      <c r="C96" s="1" t="n">
        <v>46171</v>
      </c>
      <c r="D96" t="inlineStr">
        <is>
          <t>ÖREBRO LÄN</t>
        </is>
      </c>
      <c r="E96" t="inlineStr">
        <is>
          <t>LJUSNARSBERG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43267-2024</t>
        </is>
      </c>
      <c r="B97" s="1" t="n">
        <v>45568.37403935185</v>
      </c>
      <c r="C97" s="1" t="n">
        <v>46171</v>
      </c>
      <c r="D97" t="inlineStr">
        <is>
          <t>ÖREBRO LÄN</t>
        </is>
      </c>
      <c r="E97" t="inlineStr">
        <is>
          <t>LJUSNARSBERG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44479-2025</t>
        </is>
      </c>
      <c r="B98" s="1" t="n">
        <v>45916.64740740741</v>
      </c>
      <c r="C98" s="1" t="n">
        <v>46171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40864-2025</t>
        </is>
      </c>
      <c r="B99" s="1" t="n">
        <v>45897</v>
      </c>
      <c r="C99" s="1" t="n">
        <v>46171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44983-2024</t>
        </is>
      </c>
      <c r="B100" s="1" t="n">
        <v>45575</v>
      </c>
      <c r="C100" s="1" t="n">
        <v>46171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2607-2023</t>
        </is>
      </c>
      <c r="B101" s="1" t="n">
        <v>44939</v>
      </c>
      <c r="C101" s="1" t="n">
        <v>46171</v>
      </c>
      <c r="D101" t="inlineStr">
        <is>
          <t>ÖREBRO LÄN</t>
        </is>
      </c>
      <c r="E101" t="inlineStr">
        <is>
          <t>LJUSNARSBERG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29004-2025</t>
        </is>
      </c>
      <c r="B102" s="1" t="n">
        <v>45821.39295138889</v>
      </c>
      <c r="C102" s="1" t="n">
        <v>46171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45045-2025</t>
        </is>
      </c>
      <c r="B103" s="1" t="n">
        <v>45919.26885416666</v>
      </c>
      <c r="C103" s="1" t="n">
        <v>46171</v>
      </c>
      <c r="D103" t="inlineStr">
        <is>
          <t>ÖREBRO LÄN</t>
        </is>
      </c>
      <c r="E103" t="inlineStr">
        <is>
          <t>LJUSNARSBERG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29000-2025</t>
        </is>
      </c>
      <c r="B104" s="1" t="n">
        <v>45821.38925925926</v>
      </c>
      <c r="C104" s="1" t="n">
        <v>46171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29009-2025</t>
        </is>
      </c>
      <c r="B105" s="1" t="n">
        <v>45821.40370370371</v>
      </c>
      <c r="C105" s="1" t="n">
        <v>46171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2667-2026</t>
        </is>
      </c>
      <c r="B106" s="1" t="n">
        <v>46037.64480324074</v>
      </c>
      <c r="C106" s="1" t="n">
        <v>46171</v>
      </c>
      <c r="D106" t="inlineStr">
        <is>
          <t>ÖREBRO LÄN</t>
        </is>
      </c>
      <c r="E106" t="inlineStr">
        <is>
          <t>LJUSNARSBERG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29008-2025</t>
        </is>
      </c>
      <c r="B107" s="1" t="n">
        <v>45821.39887731482</v>
      </c>
      <c r="C107" s="1" t="n">
        <v>46171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46171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29020-2025</t>
        </is>
      </c>
      <c r="B109" s="1" t="n">
        <v>45821.42728009259</v>
      </c>
      <c r="C109" s="1" t="n">
        <v>46171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46805-2024</t>
        </is>
      </c>
      <c r="B110" s="1" t="n">
        <v>45583</v>
      </c>
      <c r="C110" s="1" t="n">
        <v>46171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46171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45785-2025</t>
        </is>
      </c>
      <c r="B112" s="1" t="n">
        <v>45923.55998842593</v>
      </c>
      <c r="C112" s="1" t="n">
        <v>46171</v>
      </c>
      <c r="D112" t="inlineStr">
        <is>
          <t>ÖREBRO LÄN</t>
        </is>
      </c>
      <c r="E112" t="inlineStr">
        <is>
          <t>LJUSNARSBERG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36108-2024</t>
        </is>
      </c>
      <c r="B113" s="1" t="n">
        <v>45533.9425</v>
      </c>
      <c r="C113" s="1" t="n">
        <v>46171</v>
      </c>
      <c r="D113" t="inlineStr">
        <is>
          <t>ÖREBRO LÄN</t>
        </is>
      </c>
      <c r="E113" t="inlineStr">
        <is>
          <t>LJUSNARSBERG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4013-2026</t>
        </is>
      </c>
      <c r="B114" s="1" t="n">
        <v>46044.41157407407</v>
      </c>
      <c r="C114" s="1" t="n">
        <v>46171</v>
      </c>
      <c r="D114" t="inlineStr">
        <is>
          <t>ÖREBRO LÄN</t>
        </is>
      </c>
      <c r="E114" t="inlineStr">
        <is>
          <t>LJUSNARSBERG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58823-2022</t>
        </is>
      </c>
      <c r="B115" s="1" t="n">
        <v>44903</v>
      </c>
      <c r="C115" s="1" t="n">
        <v>46171</v>
      </c>
      <c r="D115" t="inlineStr">
        <is>
          <t>ÖREBRO LÄN</t>
        </is>
      </c>
      <c r="E115" t="inlineStr">
        <is>
          <t>LJUSNARSBERG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29572-2025</t>
        </is>
      </c>
      <c r="B116" s="1" t="n">
        <v>45825.36898148148</v>
      </c>
      <c r="C116" s="1" t="n">
        <v>46171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46492-2025</t>
        </is>
      </c>
      <c r="B117" s="1" t="n">
        <v>45925</v>
      </c>
      <c r="C117" s="1" t="n">
        <v>46171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25574-2023</t>
        </is>
      </c>
      <c r="B118" s="1" t="n">
        <v>45089</v>
      </c>
      <c r="C118" s="1" t="n">
        <v>46171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46171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30428-2025</t>
        </is>
      </c>
      <c r="B120" s="1" t="n">
        <v>45827</v>
      </c>
      <c r="C120" s="1" t="n">
        <v>46171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41610-2025</t>
        </is>
      </c>
      <c r="B121" s="1" t="n">
        <v>45901</v>
      </c>
      <c r="C121" s="1" t="n">
        <v>46171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47023-2025</t>
        </is>
      </c>
      <c r="B122" s="1" t="n">
        <v>45929.57790509259</v>
      </c>
      <c r="C122" s="1" t="n">
        <v>46171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46171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47411-2025</t>
        </is>
      </c>
      <c r="B124" s="1" t="n">
        <v>45930.61648148148</v>
      </c>
      <c r="C124" s="1" t="n">
        <v>46171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24921-2023</t>
        </is>
      </c>
      <c r="B125" s="1" t="n">
        <v>45085</v>
      </c>
      <c r="C125" s="1" t="n">
        <v>46171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30930-2025</t>
        </is>
      </c>
      <c r="B126" s="1" t="n">
        <v>45832.39980324074</v>
      </c>
      <c r="C126" s="1" t="n">
        <v>46171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30928-2025</t>
        </is>
      </c>
      <c r="B127" s="1" t="n">
        <v>45832.39780092592</v>
      </c>
      <c r="C127" s="1" t="n">
        <v>46171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30931-2025</t>
        </is>
      </c>
      <c r="B128" s="1" t="n">
        <v>45832.40206018519</v>
      </c>
      <c r="C128" s="1" t="n">
        <v>46171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30935-2025</t>
        </is>
      </c>
      <c r="B129" s="1" t="n">
        <v>45832.40581018518</v>
      </c>
      <c r="C129" s="1" t="n">
        <v>46171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46171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18938-2022</t>
        </is>
      </c>
      <c r="B131" s="1" t="n">
        <v>44690</v>
      </c>
      <c r="C131" s="1" t="n">
        <v>46171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46085-2024</t>
        </is>
      </c>
      <c r="B132" s="1" t="n">
        <v>45581</v>
      </c>
      <c r="C132" s="1" t="n">
        <v>46171</v>
      </c>
      <c r="D132" t="inlineStr">
        <is>
          <t>ÖREBRO LÄN</t>
        </is>
      </c>
      <c r="E132" t="inlineStr">
        <is>
          <t>LJUSNARSBERG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48501-2025</t>
        </is>
      </c>
      <c r="B133" s="1" t="n">
        <v>45936.37960648148</v>
      </c>
      <c r="C133" s="1" t="n">
        <v>46171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48534-2025</t>
        </is>
      </c>
      <c r="B134" s="1" t="n">
        <v>45934</v>
      </c>
      <c r="C134" s="1" t="n">
        <v>46171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48540-2025</t>
        </is>
      </c>
      <c r="B135" s="1" t="n">
        <v>45934</v>
      </c>
      <c r="C135" s="1" t="n">
        <v>46171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29721-2023</t>
        </is>
      </c>
      <c r="B136" s="1" t="n">
        <v>45107</v>
      </c>
      <c r="C136" s="1" t="n">
        <v>46171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46171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48515-2025</t>
        </is>
      </c>
      <c r="B138" s="1" t="n">
        <v>45936.39302083333</v>
      </c>
      <c r="C138" s="1" t="n">
        <v>46171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48542-2025</t>
        </is>
      </c>
      <c r="B139" s="1" t="n">
        <v>45934</v>
      </c>
      <c r="C139" s="1" t="n">
        <v>46171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46823-2024</t>
        </is>
      </c>
      <c r="B140" s="1" t="n">
        <v>45583.57623842593</v>
      </c>
      <c r="C140" s="1" t="n">
        <v>46171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48506-2025</t>
        </is>
      </c>
      <c r="B141" s="1" t="n">
        <v>45936.38331018519</v>
      </c>
      <c r="C141" s="1" t="n">
        <v>46171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45936.45064814815</v>
      </c>
      <c r="C142" s="1" t="n">
        <v>46171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46171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48564-2025</t>
        </is>
      </c>
      <c r="B144" s="1" t="n">
        <v>45934</v>
      </c>
      <c r="C144" s="1" t="n">
        <v>46171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48936-2025</t>
        </is>
      </c>
      <c r="B145" s="1" t="n">
        <v>45937.52623842593</v>
      </c>
      <c r="C145" s="1" t="n">
        <v>46171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48937-2025</t>
        </is>
      </c>
      <c r="B146" s="1" t="n">
        <v>45937.52811342593</v>
      </c>
      <c r="C146" s="1" t="n">
        <v>46171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48941-2025</t>
        </is>
      </c>
      <c r="B147" s="1" t="n">
        <v>45937.53335648148</v>
      </c>
      <c r="C147" s="1" t="n">
        <v>46171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5094-2026</t>
        </is>
      </c>
      <c r="B148" s="1" t="n">
        <v>46049.55398148148</v>
      </c>
      <c r="C148" s="1" t="n">
        <v>46171</v>
      </c>
      <c r="D148" t="inlineStr">
        <is>
          <t>ÖREBRO LÄN</t>
        </is>
      </c>
      <c r="E148" t="inlineStr">
        <is>
          <t>LJUSNARSBERG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48934-2025</t>
        </is>
      </c>
      <c r="B149" s="1" t="n">
        <v>45937.52383101852</v>
      </c>
      <c r="C149" s="1" t="n">
        <v>46171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48969-2025</t>
        </is>
      </c>
      <c r="B150" s="1" t="n">
        <v>45937.56372685185</v>
      </c>
      <c r="C150" s="1" t="n">
        <v>46171</v>
      </c>
      <c r="D150" t="inlineStr">
        <is>
          <t>ÖREBRO LÄN</t>
        </is>
      </c>
      <c r="E150" t="inlineStr">
        <is>
          <t>LJUSNARSBERG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46171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26617-2022</t>
        </is>
      </c>
      <c r="B152" s="1" t="n">
        <v>44739.57129629629</v>
      </c>
      <c r="C152" s="1" t="n">
        <v>46171</v>
      </c>
      <c r="D152" t="inlineStr">
        <is>
          <t>ÖREBRO LÄN</t>
        </is>
      </c>
      <c r="E152" t="inlineStr">
        <is>
          <t>LJUSNARSBERG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32880-2025</t>
        </is>
      </c>
      <c r="B153" s="1" t="n">
        <v>45839.59601851852</v>
      </c>
      <c r="C153" s="1" t="n">
        <v>46171</v>
      </c>
      <c r="D153" t="inlineStr">
        <is>
          <t>ÖREBRO LÄN</t>
        </is>
      </c>
      <c r="E153" t="inlineStr">
        <is>
          <t>LJUSNARSBERG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46171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50023-2025</t>
        </is>
      </c>
      <c r="B155" s="1" t="n">
        <v>45943.37494212963</v>
      </c>
      <c r="C155" s="1" t="n">
        <v>46171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33181-2025</t>
        </is>
      </c>
      <c r="B156" s="1" t="n">
        <v>45840.59094907407</v>
      </c>
      <c r="C156" s="1" t="n">
        <v>46171</v>
      </c>
      <c r="D156" t="inlineStr">
        <is>
          <t>ÖREBRO LÄN</t>
        </is>
      </c>
      <c r="E156" t="inlineStr">
        <is>
          <t>LJUSNARSBERG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33622-2025</t>
        </is>
      </c>
      <c r="B157" s="1" t="n">
        <v>45841.63055555556</v>
      </c>
      <c r="C157" s="1" t="n">
        <v>46171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20797-2022</t>
        </is>
      </c>
      <c r="B158" s="1" t="n">
        <v>44701</v>
      </c>
      <c r="C158" s="1" t="n">
        <v>46171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33666-2025</t>
        </is>
      </c>
      <c r="B159" s="1" t="n">
        <v>45841.67148148148</v>
      </c>
      <c r="C159" s="1" t="n">
        <v>46171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50865-2025</t>
        </is>
      </c>
      <c r="B160" s="1" t="n">
        <v>45946.59532407407</v>
      </c>
      <c r="C160" s="1" t="n">
        <v>46171</v>
      </c>
      <c r="D160" t="inlineStr">
        <is>
          <t>ÖREBRO LÄN</t>
        </is>
      </c>
      <c r="E160" t="inlineStr">
        <is>
          <t>LJUSNARSBERG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33448-2025</t>
        </is>
      </c>
      <c r="B161" s="1" t="n">
        <v>45841.46513888889</v>
      </c>
      <c r="C161" s="1" t="n">
        <v>46171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19368-2025</t>
        </is>
      </c>
      <c r="B162" s="1" t="n">
        <v>45769</v>
      </c>
      <c r="C162" s="1" t="n">
        <v>46171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32015-2025</t>
        </is>
      </c>
      <c r="B163" s="1" t="n">
        <v>45835</v>
      </c>
      <c r="C163" s="1" t="n">
        <v>46171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59627-2024</t>
        </is>
      </c>
      <c r="B164" s="1" t="n">
        <v>45638.89708333334</v>
      </c>
      <c r="C164" s="1" t="n">
        <v>46171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23346-2022</t>
        </is>
      </c>
      <c r="B165" s="1" t="n">
        <v>44720</v>
      </c>
      <c r="C165" s="1" t="n">
        <v>46171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17933-2024</t>
        </is>
      </c>
      <c r="B166" s="1" t="n">
        <v>45419.61329861111</v>
      </c>
      <c r="C166" s="1" t="n">
        <v>46171</v>
      </c>
      <c r="D166" t="inlineStr">
        <is>
          <t>ÖREBRO LÄN</t>
        </is>
      </c>
      <c r="E166" t="inlineStr">
        <is>
          <t>LJUSNARSBERG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53726-2024</t>
        </is>
      </c>
      <c r="B167" s="1" t="n">
        <v>45614</v>
      </c>
      <c r="C167" s="1" t="n">
        <v>46171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46171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46171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51693-2025</t>
        </is>
      </c>
      <c r="B170" s="1" t="n">
        <v>45951.54322916667</v>
      </c>
      <c r="C170" s="1" t="n">
        <v>46171</v>
      </c>
      <c r="D170" t="inlineStr">
        <is>
          <t>ÖREBRO LÄN</t>
        </is>
      </c>
      <c r="E170" t="inlineStr">
        <is>
          <t>LJUSNARSBERG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35071-2025</t>
        </is>
      </c>
      <c r="B171" s="1" t="n">
        <v>45852.47094907407</v>
      </c>
      <c r="C171" s="1" t="n">
        <v>46171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35079-2025</t>
        </is>
      </c>
      <c r="B172" s="1" t="n">
        <v>45852.48940972222</v>
      </c>
      <c r="C172" s="1" t="n">
        <v>46171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26165-2022</t>
        </is>
      </c>
      <c r="B173" s="1" t="n">
        <v>44734</v>
      </c>
      <c r="C173" s="1" t="n">
        <v>46171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53323-2025</t>
        </is>
      </c>
      <c r="B174" s="1" t="n">
        <v>45959.35993055555</v>
      </c>
      <c r="C174" s="1" t="n">
        <v>46171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122-2025</t>
        </is>
      </c>
      <c r="B175" s="1" t="n">
        <v>45659.54782407408</v>
      </c>
      <c r="C175" s="1" t="n">
        <v>46171</v>
      </c>
      <c r="D175" t="inlineStr">
        <is>
          <t>ÖREBRO LÄN</t>
        </is>
      </c>
      <c r="E175" t="inlineStr">
        <is>
          <t>LJUSNARSBERG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32012-2025</t>
        </is>
      </c>
      <c r="B176" s="1" t="n">
        <v>45835.39809027778</v>
      </c>
      <c r="C176" s="1" t="n">
        <v>46171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36425-2025</t>
        </is>
      </c>
      <c r="B177" s="1" t="n">
        <v>45868</v>
      </c>
      <c r="C177" s="1" t="n">
        <v>46171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59629-2024</t>
        </is>
      </c>
      <c r="B178" s="1" t="n">
        <v>45638.89961805556</v>
      </c>
      <c r="C178" s="1" t="n">
        <v>46171</v>
      </c>
      <c r="D178" t="inlineStr">
        <is>
          <t>ÖREBRO LÄN</t>
        </is>
      </c>
      <c r="E178" t="inlineStr">
        <is>
          <t>LJUSNARSBERG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11294-2025</t>
        </is>
      </c>
      <c r="B179" s="1" t="n">
        <v>45726.4325462963</v>
      </c>
      <c r="C179" s="1" t="n">
        <v>46171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392-2022</t>
        </is>
      </c>
      <c r="B180" s="1" t="n">
        <v>44565.68466435185</v>
      </c>
      <c r="C180" s="1" t="n">
        <v>46171</v>
      </c>
      <c r="D180" t="inlineStr">
        <is>
          <t>ÖREBRO LÄN</t>
        </is>
      </c>
      <c r="E180" t="inlineStr">
        <is>
          <t>LJUSNARSBERG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32010-2025</t>
        </is>
      </c>
      <c r="B181" s="1" t="n">
        <v>45835.39456018519</v>
      </c>
      <c r="C181" s="1" t="n">
        <v>46171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56859-2025</t>
        </is>
      </c>
      <c r="B182" s="1" t="n">
        <v>45975</v>
      </c>
      <c r="C182" s="1" t="n">
        <v>46171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57400-2025</t>
        </is>
      </c>
      <c r="B183" s="1" t="n">
        <v>45980.43373842593</v>
      </c>
      <c r="C183" s="1" t="n">
        <v>46171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57392-2025</t>
        </is>
      </c>
      <c r="B184" s="1" t="n">
        <v>45980.42310185185</v>
      </c>
      <c r="C184" s="1" t="n">
        <v>46171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52489-2022</t>
        </is>
      </c>
      <c r="B185" s="1" t="n">
        <v>44874.49135416667</v>
      </c>
      <c r="C185" s="1" t="n">
        <v>46171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13609-2025</t>
        </is>
      </c>
      <c r="B186" s="1" t="n">
        <v>45736</v>
      </c>
      <c r="C186" s="1" t="n">
        <v>46171</v>
      </c>
      <c r="D186" t="inlineStr">
        <is>
          <t>ÖREBRO LÄN</t>
        </is>
      </c>
      <c r="E186" t="inlineStr">
        <is>
          <t>LJUSNARSBERG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30414-2023</t>
        </is>
      </c>
      <c r="B187" s="1" t="n">
        <v>45111.5005787037</v>
      </c>
      <c r="C187" s="1" t="n">
        <v>46171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46263-2021</t>
        </is>
      </c>
      <c r="B188" s="1" t="n">
        <v>44442.55688657407</v>
      </c>
      <c r="C188" s="1" t="n">
        <v>46171</v>
      </c>
      <c r="D188" t="inlineStr">
        <is>
          <t>ÖREBRO LÄN</t>
        </is>
      </c>
      <c r="E188" t="inlineStr">
        <is>
          <t>LJUSNARSBERG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62667-2022</t>
        </is>
      </c>
      <c r="B189" s="1" t="n">
        <v>44917</v>
      </c>
      <c r="C189" s="1" t="n">
        <v>46171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44788-2021</t>
        </is>
      </c>
      <c r="B190" s="1" t="n">
        <v>44438.4766087963</v>
      </c>
      <c r="C190" s="1" t="n">
        <v>46171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25098-2023</t>
        </is>
      </c>
      <c r="B191" s="1" t="n">
        <v>45086.3722337963</v>
      </c>
      <c r="C191" s="1" t="n">
        <v>46171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14500-2024</t>
        </is>
      </c>
      <c r="B192" s="1" t="n">
        <v>45394.59287037037</v>
      </c>
      <c r="C192" s="1" t="n">
        <v>46171</v>
      </c>
      <c r="D192" t="inlineStr">
        <is>
          <t>ÖREBRO LÄN</t>
        </is>
      </c>
      <c r="E192" t="inlineStr">
        <is>
          <t>LJUSNARSBERG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61579-2025</t>
        </is>
      </c>
      <c r="B193" s="1" t="n">
        <v>46002.33436342593</v>
      </c>
      <c r="C193" s="1" t="n">
        <v>46171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46171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46171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46171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46171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46082-2024</t>
        </is>
      </c>
      <c r="B198" s="1" t="n">
        <v>45581</v>
      </c>
      <c r="C198" s="1" t="n">
        <v>46171</v>
      </c>
      <c r="D198" t="inlineStr">
        <is>
          <t>ÖREBRO LÄN</t>
        </is>
      </c>
      <c r="E198" t="inlineStr">
        <is>
          <t>LJUSNARSBERG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289-2022</t>
        </is>
      </c>
      <c r="B199" s="1" t="n">
        <v>44564</v>
      </c>
      <c r="C199" s="1" t="n">
        <v>46171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53887-2024</t>
        </is>
      </c>
      <c r="B200" s="1" t="n">
        <v>45614</v>
      </c>
      <c r="C200" s="1" t="n">
        <v>46171</v>
      </c>
      <c r="D200" t="inlineStr">
        <is>
          <t>ÖREBRO LÄN</t>
        </is>
      </c>
      <c r="E200" t="inlineStr">
        <is>
          <t>LJUSNARSBERG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46801-2024</t>
        </is>
      </c>
      <c r="B201" s="1" t="n">
        <v>45583</v>
      </c>
      <c r="C201" s="1" t="n">
        <v>46171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46809-2024</t>
        </is>
      </c>
      <c r="B202" s="1" t="n">
        <v>45583</v>
      </c>
      <c r="C202" s="1" t="n">
        <v>46171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25671-2024</t>
        </is>
      </c>
      <c r="B203" s="1" t="n">
        <v>45463.72734953704</v>
      </c>
      <c r="C203" s="1" t="n">
        <v>46171</v>
      </c>
      <c r="D203" t="inlineStr">
        <is>
          <t>ÖREBRO LÄN</t>
        </is>
      </c>
      <c r="E203" t="inlineStr">
        <is>
          <t>LJUSNARSBERG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16470-2025</t>
        </is>
      </c>
      <c r="B204" s="1" t="n">
        <v>45751.54487268518</v>
      </c>
      <c r="C204" s="1" t="n">
        <v>46171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16615-2025</t>
        </is>
      </c>
      <c r="B205" s="1" t="n">
        <v>45754.28462962963</v>
      </c>
      <c r="C205" s="1" t="n">
        <v>46171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6310-2024</t>
        </is>
      </c>
      <c r="B206" s="1" t="n">
        <v>45338</v>
      </c>
      <c r="C206" s="1" t="n">
        <v>46171</v>
      </c>
      <c r="D206" t="inlineStr">
        <is>
          <t>ÖREBRO LÄN</t>
        </is>
      </c>
      <c r="E206" t="inlineStr">
        <is>
          <t>LJUSNARSBERG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50524-2023</t>
        </is>
      </c>
      <c r="B207" s="1" t="n">
        <v>45217</v>
      </c>
      <c r="C207" s="1" t="n">
        <v>46171</v>
      </c>
      <c r="D207" t="inlineStr">
        <is>
          <t>ÖREBRO LÄN</t>
        </is>
      </c>
      <c r="E207" t="inlineStr">
        <is>
          <t>LJUSNARSBERG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53595-2024</t>
        </is>
      </c>
      <c r="B208" s="1" t="n">
        <v>45614.67861111111</v>
      </c>
      <c r="C208" s="1" t="n">
        <v>46171</v>
      </c>
      <c r="D208" t="inlineStr">
        <is>
          <t>ÖREBRO LÄN</t>
        </is>
      </c>
      <c r="E208" t="inlineStr">
        <is>
          <t>LJUSNARSBERG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61794-2024</t>
        </is>
      </c>
      <c r="B209" s="1" t="n">
        <v>45649</v>
      </c>
      <c r="C209" s="1" t="n">
        <v>46171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31295-2023</t>
        </is>
      </c>
      <c r="B210" s="1" t="n">
        <v>45103</v>
      </c>
      <c r="C210" s="1" t="n">
        <v>46171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19738-2026</t>
        </is>
      </c>
      <c r="B211" s="1" t="n">
        <v>46133</v>
      </c>
      <c r="C211" s="1" t="n">
        <v>46171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52366-2024</t>
        </is>
      </c>
      <c r="B212" s="1" t="n">
        <v>45608</v>
      </c>
      <c r="C212" s="1" t="n">
        <v>46171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46171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46171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19936-2026</t>
        </is>
      </c>
      <c r="B215" s="1" t="n">
        <v>46136.37868055556</v>
      </c>
      <c r="C215" s="1" t="n">
        <v>46171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19940-2026</t>
        </is>
      </c>
      <c r="B216" s="1" t="n">
        <v>46136.38118055555</v>
      </c>
      <c r="C216" s="1" t="n">
        <v>46171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19937-2026</t>
        </is>
      </c>
      <c r="B217" s="1" t="n">
        <v>46136.37939814815</v>
      </c>
      <c r="C217" s="1" t="n">
        <v>46171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13801-2026</t>
        </is>
      </c>
      <c r="B218" s="1" t="n">
        <v>46097.87369212963</v>
      </c>
      <c r="C218" s="1" t="n">
        <v>46171</v>
      </c>
      <c r="D218" t="inlineStr">
        <is>
          <t>ÖREBRO LÄN</t>
        </is>
      </c>
      <c r="E218" t="inlineStr">
        <is>
          <t>LJUSNARSBERG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13802-2026</t>
        </is>
      </c>
      <c r="B219" s="1" t="n">
        <v>46097.87480324074</v>
      </c>
      <c r="C219" s="1" t="n">
        <v>46171</v>
      </c>
      <c r="D219" t="inlineStr">
        <is>
          <t>ÖREBRO LÄN</t>
        </is>
      </c>
      <c r="E219" t="inlineStr">
        <is>
          <t>LJUSNARSBERG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13799-2026</t>
        </is>
      </c>
      <c r="B220" s="1" t="n">
        <v>46097.87210648148</v>
      </c>
      <c r="C220" s="1" t="n">
        <v>46171</v>
      </c>
      <c r="D220" t="inlineStr">
        <is>
          <t>ÖREBRO LÄN</t>
        </is>
      </c>
      <c r="E220" t="inlineStr">
        <is>
          <t>LJUSNARSBERG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13800-2026</t>
        </is>
      </c>
      <c r="B221" s="1" t="n">
        <v>46097.87292824074</v>
      </c>
      <c r="C221" s="1" t="n">
        <v>46171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55787-2023</t>
        </is>
      </c>
      <c r="B222" s="1" t="n">
        <v>45239.51128472222</v>
      </c>
      <c r="C222" s="1" t="n">
        <v>46171</v>
      </c>
      <c r="D222" t="inlineStr">
        <is>
          <t>ÖREBRO LÄN</t>
        </is>
      </c>
      <c r="E222" t="inlineStr">
        <is>
          <t>LJUSNARSBERG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33861-2022</t>
        </is>
      </c>
      <c r="B223" s="1" t="n">
        <v>44790</v>
      </c>
      <c r="C223" s="1" t="n">
        <v>46171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37066-2023</t>
        </is>
      </c>
      <c r="B224" s="1" t="n">
        <v>45155</v>
      </c>
      <c r="C224" s="1" t="n">
        <v>46171</v>
      </c>
      <c r="D224" t="inlineStr">
        <is>
          <t>ÖREBRO LÄN</t>
        </is>
      </c>
      <c r="E224" t="inlineStr">
        <is>
          <t>LJUSNARSBERG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26260-2024</t>
        </is>
      </c>
      <c r="B225" s="1" t="n">
        <v>45468.65731481482</v>
      </c>
      <c r="C225" s="1" t="n">
        <v>46171</v>
      </c>
      <c r="D225" t="inlineStr">
        <is>
          <t>ÖREBRO LÄN</t>
        </is>
      </c>
      <c r="E225" t="inlineStr">
        <is>
          <t>LJUSNARSBERG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57129-2021</t>
        </is>
      </c>
      <c r="B226" s="1" t="n">
        <v>44482</v>
      </c>
      <c r="C226" s="1" t="n">
        <v>46171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12489-2023</t>
        </is>
      </c>
      <c r="B227" s="1" t="n">
        <v>44999.69774305556</v>
      </c>
      <c r="C227" s="1" t="n">
        <v>46171</v>
      </c>
      <c r="D227" t="inlineStr">
        <is>
          <t>ÖREBRO LÄN</t>
        </is>
      </c>
      <c r="E227" t="inlineStr">
        <is>
          <t>LJUSNARSBERG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15114-2024</t>
        </is>
      </c>
      <c r="B228" s="1" t="n">
        <v>45399.68209490741</v>
      </c>
      <c r="C228" s="1" t="n">
        <v>46171</v>
      </c>
      <c r="D228" t="inlineStr">
        <is>
          <t>ÖREBRO LÄN</t>
        </is>
      </c>
      <c r="E228" t="inlineStr">
        <is>
          <t>LJUSNARSBERG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39095-2022</t>
        </is>
      </c>
      <c r="B229" s="1" t="n">
        <v>44817</v>
      </c>
      <c r="C229" s="1" t="n">
        <v>46171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46146-2022</t>
        </is>
      </c>
      <c r="B230" s="1" t="n">
        <v>44847.4584375</v>
      </c>
      <c r="C230" s="1" t="n">
        <v>46171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1683-2023</t>
        </is>
      </c>
      <c r="B231" s="1" t="n">
        <v>44938</v>
      </c>
      <c r="C231" s="1" t="n">
        <v>46171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21202-2026</t>
        </is>
      </c>
      <c r="B232" s="1" t="n">
        <v>46146.66099537037</v>
      </c>
      <c r="C232" s="1" t="n">
        <v>46171</v>
      </c>
      <c r="D232" t="inlineStr">
        <is>
          <t>ÖREBRO LÄN</t>
        </is>
      </c>
      <c r="E232" t="inlineStr">
        <is>
          <t>LJUSNARSBERG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21186-2026</t>
        </is>
      </c>
      <c r="B233" s="1" t="n">
        <v>46146.64283564815</v>
      </c>
      <c r="C233" s="1" t="n">
        <v>46171</v>
      </c>
      <c r="D233" t="inlineStr">
        <is>
          <t>ÖREBRO LÄN</t>
        </is>
      </c>
      <c r="E233" t="inlineStr">
        <is>
          <t>LJUSNARSBERG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46171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46171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46171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31549-2021</t>
        </is>
      </c>
      <c r="B237" s="1" t="n">
        <v>44369</v>
      </c>
      <c r="C237" s="1" t="n">
        <v>46171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61580-2023</t>
        </is>
      </c>
      <c r="B238" s="1" t="n">
        <v>45265</v>
      </c>
      <c r="C238" s="1" t="n">
        <v>46171</v>
      </c>
      <c r="D238" t="inlineStr">
        <is>
          <t>ÖREBRO LÄN</t>
        </is>
      </c>
      <c r="E238" t="inlineStr">
        <is>
          <t>LJUSNARSBERG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57090-2022</t>
        </is>
      </c>
      <c r="B239" s="1" t="n">
        <v>44895.46328703704</v>
      </c>
      <c r="C239" s="1" t="n">
        <v>46171</v>
      </c>
      <c r="D239" t="inlineStr">
        <is>
          <t>ÖREBRO LÄN</t>
        </is>
      </c>
      <c r="E239" t="inlineStr">
        <is>
          <t>LJUSNARSBERG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22366-2026</t>
        </is>
      </c>
      <c r="B240" s="1" t="n">
        <v>46154.6021412037</v>
      </c>
      <c r="C240" s="1" t="n">
        <v>46171</v>
      </c>
      <c r="D240" t="inlineStr">
        <is>
          <t>ÖREBRO LÄN</t>
        </is>
      </c>
      <c r="E240" t="inlineStr">
        <is>
          <t>LJUSNARSBERG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17276-2023</t>
        </is>
      </c>
      <c r="B241" s="1" t="n">
        <v>45035</v>
      </c>
      <c r="C241" s="1" t="n">
        <v>46171</v>
      </c>
      <c r="D241" t="inlineStr">
        <is>
          <t>ÖREBRO LÄN</t>
        </is>
      </c>
      <c r="E241" t="inlineStr">
        <is>
          <t>LJUSNARSBERG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35151-2023</t>
        </is>
      </c>
      <c r="B242" s="1" t="n">
        <v>45145</v>
      </c>
      <c r="C242" s="1" t="n">
        <v>46171</v>
      </c>
      <c r="D242" t="inlineStr">
        <is>
          <t>ÖREBRO LÄN</t>
        </is>
      </c>
      <c r="E242" t="inlineStr">
        <is>
          <t>LJUSNARSBERG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62421-2022</t>
        </is>
      </c>
      <c r="B243" s="1" t="n">
        <v>44916</v>
      </c>
      <c r="C243" s="1" t="n">
        <v>46171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16613-2023</t>
        </is>
      </c>
      <c r="B244" s="1" t="n">
        <v>45030</v>
      </c>
      <c r="C244" s="1" t="n">
        <v>46171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23633-2026</t>
        </is>
      </c>
      <c r="B245" s="1" t="n">
        <v>46163</v>
      </c>
      <c r="C245" s="1" t="n">
        <v>46171</v>
      </c>
      <c r="D245" t="inlineStr">
        <is>
          <t>ÖREBRO LÄN</t>
        </is>
      </c>
      <c r="E245" t="inlineStr">
        <is>
          <t>LJUSNARSBERG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19671-2026</t>
        </is>
      </c>
      <c r="B246" s="1" t="n">
        <v>46133</v>
      </c>
      <c r="C246" s="1" t="n">
        <v>46171</v>
      </c>
      <c r="D246" t="inlineStr">
        <is>
          <t>ÖREBRO LÄN</t>
        </is>
      </c>
      <c r="E246" t="inlineStr">
        <is>
          <t>LJUSNARSBERG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33193-2024</t>
        </is>
      </c>
      <c r="B247" s="1" t="n">
        <v>45518</v>
      </c>
      <c r="C247" s="1" t="n">
        <v>46171</v>
      </c>
      <c r="D247" t="inlineStr">
        <is>
          <t>ÖREBRO LÄN</t>
        </is>
      </c>
      <c r="E247" t="inlineStr">
        <is>
          <t>LJUSNARSBERG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34712-2024</t>
        </is>
      </c>
      <c r="B248" s="1" t="n">
        <v>45526</v>
      </c>
      <c r="C248" s="1" t="n">
        <v>46171</v>
      </c>
      <c r="D248" t="inlineStr">
        <is>
          <t>ÖREBRO LÄN</t>
        </is>
      </c>
      <c r="E248" t="inlineStr">
        <is>
          <t>LJUSNARSBERG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19750-2025</t>
        </is>
      </c>
      <c r="B249" s="1" t="n">
        <v>45771.38583333333</v>
      </c>
      <c r="C249" s="1" t="n">
        <v>46171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46812-2024</t>
        </is>
      </c>
      <c r="B250" s="1" t="n">
        <v>45583</v>
      </c>
      <c r="C250" s="1" t="n">
        <v>46171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45539-2024</t>
        </is>
      </c>
      <c r="B251" s="1" t="n">
        <v>45578</v>
      </c>
      <c r="C251" s="1" t="n">
        <v>46171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53031-2024</t>
        </is>
      </c>
      <c r="B252" s="1" t="n">
        <v>45611</v>
      </c>
      <c r="C252" s="1" t="n">
        <v>46171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24374-2026</t>
        </is>
      </c>
      <c r="B253" s="1" t="n">
        <v>46167</v>
      </c>
      <c r="C253" s="1" t="n">
        <v>46171</v>
      </c>
      <c r="D253" t="inlineStr">
        <is>
          <t>ÖREBRO LÄN</t>
        </is>
      </c>
      <c r="E253" t="inlineStr">
        <is>
          <t>LJUSNARSBERG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24352-2026</t>
        </is>
      </c>
      <c r="B254" s="1" t="n">
        <v>46167</v>
      </c>
      <c r="C254" s="1" t="n">
        <v>46171</v>
      </c>
      <c r="D254" t="inlineStr">
        <is>
          <t>ÖREBRO LÄN</t>
        </is>
      </c>
      <c r="E254" t="inlineStr">
        <is>
          <t>LJUSNARSBERG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24307-2026</t>
        </is>
      </c>
      <c r="B255" s="1" t="n">
        <v>46167</v>
      </c>
      <c r="C255" s="1" t="n">
        <v>46171</v>
      </c>
      <c r="D255" t="inlineStr">
        <is>
          <t>ÖREBRO LÄN</t>
        </is>
      </c>
      <c r="E255" t="inlineStr">
        <is>
          <t>LJUSNARSBERG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24343-2026</t>
        </is>
      </c>
      <c r="B256" s="1" t="n">
        <v>46167</v>
      </c>
      <c r="C256" s="1" t="n">
        <v>46171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24348-2026</t>
        </is>
      </c>
      <c r="B257" s="1" t="n">
        <v>46167</v>
      </c>
      <c r="C257" s="1" t="n">
        <v>46171</v>
      </c>
      <c r="D257" t="inlineStr">
        <is>
          <t>ÖREBRO LÄN</t>
        </is>
      </c>
      <c r="E257" t="inlineStr">
        <is>
          <t>LJUSNARSBERG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24319-2026</t>
        </is>
      </c>
      <c r="B258" s="1" t="n">
        <v>46167</v>
      </c>
      <c r="C258" s="1" t="n">
        <v>46171</v>
      </c>
      <c r="D258" t="inlineStr">
        <is>
          <t>ÖREBRO LÄN</t>
        </is>
      </c>
      <c r="E258" t="inlineStr">
        <is>
          <t>LJUSNARSBERG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24299-2026</t>
        </is>
      </c>
      <c r="B259" s="1" t="n">
        <v>46167</v>
      </c>
      <c r="C259" s="1" t="n">
        <v>46171</v>
      </c>
      <c r="D259" t="inlineStr">
        <is>
          <t>ÖREBRO LÄN</t>
        </is>
      </c>
      <c r="E259" t="inlineStr">
        <is>
          <t>LJUSNARSBERG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24363-2026</t>
        </is>
      </c>
      <c r="B260" s="1" t="n">
        <v>46167</v>
      </c>
      <c r="C260" s="1" t="n">
        <v>46171</v>
      </c>
      <c r="D260" t="inlineStr">
        <is>
          <t>ÖREBRO LÄN</t>
        </is>
      </c>
      <c r="E260" t="inlineStr">
        <is>
          <t>LJUSNARSBERG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45536-2024</t>
        </is>
      </c>
      <c r="B261" s="1" t="n">
        <v>45578</v>
      </c>
      <c r="C261" s="1" t="n">
        <v>46171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24350-2026</t>
        </is>
      </c>
      <c r="B262" s="1" t="n">
        <v>46167</v>
      </c>
      <c r="C262" s="1" t="n">
        <v>46171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29436-2023</t>
        </is>
      </c>
      <c r="B263" s="1" t="n">
        <v>45106.49378472222</v>
      </c>
      <c r="C263" s="1" t="n">
        <v>46171</v>
      </c>
      <c r="D263" t="inlineStr">
        <is>
          <t>ÖREBRO LÄN</t>
        </is>
      </c>
      <c r="E263" t="inlineStr">
        <is>
          <t>LJUSNARSBERG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31167-2023</t>
        </is>
      </c>
      <c r="B264" s="1" t="n">
        <v>45103</v>
      </c>
      <c r="C264" s="1" t="n">
        <v>46171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45537-2024</t>
        </is>
      </c>
      <c r="B265" s="1" t="n">
        <v>45578</v>
      </c>
      <c r="C265" s="1" t="n">
        <v>46171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18932-2022</t>
        </is>
      </c>
      <c r="B266" s="1" t="n">
        <v>44690</v>
      </c>
      <c r="C266" s="1" t="n">
        <v>46171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59495-2024</t>
        </is>
      </c>
      <c r="B267" s="1" t="n">
        <v>45638</v>
      </c>
      <c r="C267" s="1" t="n">
        <v>46171</v>
      </c>
      <c r="D267" t="inlineStr">
        <is>
          <t>ÖREBRO LÄN</t>
        </is>
      </c>
      <c r="E267" t="inlineStr">
        <is>
          <t>LJUSNARSBERG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62810-2021</t>
        </is>
      </c>
      <c r="B268" s="1" t="n">
        <v>44503</v>
      </c>
      <c r="C268" s="1" t="n">
        <v>46171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17428-2025</t>
        </is>
      </c>
      <c r="B269" s="1" t="n">
        <v>45757.4027199074</v>
      </c>
      <c r="C269" s="1" t="n">
        <v>46171</v>
      </c>
      <c r="D269" t="inlineStr">
        <is>
          <t>ÖREBRO LÄN</t>
        </is>
      </c>
      <c r="E269" t="inlineStr">
        <is>
          <t>LJUSNARSBERG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31162-2023</t>
        </is>
      </c>
      <c r="B270" s="1" t="n">
        <v>45103</v>
      </c>
      <c r="C270" s="1" t="n">
        <v>46171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28778-2024</t>
        </is>
      </c>
      <c r="B271" s="1" t="n">
        <v>45478.6056712963</v>
      </c>
      <c r="C271" s="1" t="n">
        <v>46171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2026-05-29T10:49:54Z</dcterms:created>
  <dcterms:modified xmlns:dcterms="http://purl.org/dc/terms/" xmlns:xsi="http://www.w3.org/2001/XMLSchema-instance" xsi:type="dcterms:W3CDTF">2026-05-29T10:49:55Z</dcterms:modified>
</cp:coreProperties>
</file>