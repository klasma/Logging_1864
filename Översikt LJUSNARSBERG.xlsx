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46261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46261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46261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46261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46261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46261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46261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46261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46261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32309-2022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44781</v>
      </c>
      <c r="E15" s="1" t="n">
        <v>46261</v>
      </c>
      <c r="F15" t="inlineStr">
        <is>
          <t>ÖREBRO LÄN</t>
        </is>
      </c>
      <c r="G15" t="inlineStr">
        <is>
          <t>LJUSNARSBERG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11</v>
      </c>
      <c r="U15" t="n">
        <v>11</v>
      </c>
      <c r="V15" s="2" t="inlineStr">
        <is>
          <t>Tretåig hackspett
Tjäder</t>
        </is>
      </c>
      <c r="W15">
        <f>HYPERLINK("https://klasma.github.io/Logging_1864/artfynd/A 32309-2022 artfynd.xlsx", "A 32309-2022")</f>
        <v/>
      </c>
      <c r="X15">
        <f>HYPERLINK("https://klasma.github.io/Logging_1864/kartor/A 32309-2022 karta.png", "A 32309-2022")</f>
        <v/>
      </c>
      <c r="Y15">
        <f>HYPERLINK("https://klasma.github.io/Logging_1864/kartor_geotiff/A 32309-2022 georefererad karta.tif", "A 32309-2022")</f>
        <v/>
      </c>
      <c r="AA15">
        <f>HYPERLINK("https://klasma.github.io/Logging_1864/klagomål/A 32309-2022 FSC-klagomål.docx", "A 32309-2022")</f>
        <v/>
      </c>
      <c r="AB15">
        <f>HYPERLINK("https://klasma.github.io/Logging_1864/klagomålsmail/A 32309-2022 FSC-klagomål mail.docx", "A 32309-2022")</f>
        <v/>
      </c>
      <c r="AC15">
        <f>HYPERLINK("https://klasma.github.io/Logging_1864/tillsyn/A 32309-2022 tillsynsbegäran.docx", "A 32309-2022")</f>
        <v/>
      </c>
      <c r="AD15">
        <f>HYPERLINK("https://klasma.github.io/Logging_1864/tillsynsmail/A 32309-2022 tillsynsbegäran mail.docx", "A 32309-2022")</f>
        <v/>
      </c>
      <c r="AE15">
        <f>HYPERLINK("https://klasma.github.io/Logging_1864/fåglar/A 32309-2022 prioriterade fågelarter.docx", "A 32309-2022")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46261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46261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46261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46261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46261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Rödgul trumpetsvamp
Skogshakmossa</t>
        </is>
      </c>
      <c r="W20">
        <f>HYPERLINK("https://klasma.github.io/Logging_1864/artfynd/A 49157-2023 artfynd.xlsx", "A 49157-2023")</f>
        <v/>
      </c>
      <c r="X20">
        <f>HYPERLINK("https://klasma.github.io/Logging_1864/kartor/A 49157-2023 karta.png", "A 49157-2023")</f>
        <v/>
      </c>
      <c r="Y20">
        <f>HYPERLINK("https://klasma.github.io/Logging_1864/kartor_geotiff/A 49157-2023 georefererad karta.tif", "A 49157-2023")</f>
        <v/>
      </c>
      <c r="AA20">
        <f>HYPERLINK("https://klasma.github.io/Logging_1864/klagomål/A 49157-2023 FSC-klagomål.docx", "A 49157-2023")</f>
        <v/>
      </c>
      <c r="AB20">
        <f>HYPERLINK("https://klasma.github.io/Logging_1864/klagomålsmail/A 49157-2023 FSC-klagomål mail.docx", "A 49157-2023")</f>
        <v/>
      </c>
      <c r="AC20">
        <f>HYPERLINK("https://klasma.github.io/Logging_1864/tillsyn/A 49157-2023 tillsynsbegäran.docx", "A 49157-2023")</f>
        <v/>
      </c>
      <c r="AD20">
        <f>HYPERLINK("https://klasma.github.io/Logging_1864/tillsynsmail/A 49157-2023 tillsynsbegäran mail.docx", "A 49157-2023")</f>
        <v/>
      </c>
    </row>
    <row r="21" ht="15" customHeight="1">
      <c r="A21" t="inlineStr">
        <is>
          <t>A 45536-2024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46261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5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Tvåblad
Fläcknycklar</t>
        </is>
      </c>
      <c r="W21">
        <f>HYPERLINK("https://klasma.github.io/Logging_1864/artfynd/A 45536-2024 artfynd.xlsx", "A 45536-2024")</f>
        <v/>
      </c>
      <c r="X21">
        <f>HYPERLINK("https://klasma.github.io/Logging_1864/kartor/A 45536-2024 karta.png", "A 45536-2024")</f>
        <v/>
      </c>
      <c r="Y21">
        <f>HYPERLINK("https://klasma.github.io/Logging_1864/kartor_geotiff/A 45536-2024 georefererad karta.tif", "A 45536-2024")</f>
        <v/>
      </c>
      <c r="AA21">
        <f>HYPERLINK("https://klasma.github.io/Logging_1864/klagomål/A 45536-2024 FSC-klagomål.docx", "A 45536-2024")</f>
        <v/>
      </c>
      <c r="AB21">
        <f>HYPERLINK("https://klasma.github.io/Logging_1864/klagomålsmail/A 45536-2024 FSC-klagomål mail.docx", "A 45536-2024")</f>
        <v/>
      </c>
      <c r="AC21">
        <f>HYPERLINK("https://klasma.github.io/Logging_1864/tillsyn/A 45536-2024 tillsynsbegäran.docx", "A 45536-2024")</f>
        <v/>
      </c>
      <c r="AD21">
        <f>HYPERLINK("https://klasma.github.io/Logging_1864/tillsynsmail/A 45536-2024 tillsynsbegäran mail.docx", "A 45536-2024")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46261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46261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46261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46261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46261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46261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46261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46261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46261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S 3758-2024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45555</v>
      </c>
      <c r="E31" s="1" t="n">
        <v>46261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Bårdlav</t>
        </is>
      </c>
      <c r="W31">
        <f>HYPERLINK("https://klasma.github.io/Logging_1864/artfynd/S 3758-2024 artfynd.xlsx", "S 3758-2024")</f>
        <v/>
      </c>
      <c r="X31">
        <f>HYPERLINK("https://klasma.github.io/Logging_1864/kartor/S 3758-2024 karta.png", "S 3758-2024")</f>
        <v/>
      </c>
      <c r="Y31">
        <f>HYPERLINK("https://klasma.github.io/Logging_1864/kartor_geotiff/S 3758-2024 georefererad karta.tif", "S 3758-2024")</f>
        <v/>
      </c>
      <c r="AA31">
        <f>HYPERLINK("https://klasma.github.io/Logging_1864/klagomål/S 3758-2024 FSC-klagomål.docx", "S 3758-2024")</f>
        <v/>
      </c>
      <c r="AB31">
        <f>HYPERLINK("https://klasma.github.io/Logging_1864/klagomålsmail/S 3758-2024 FSC-klagomål mail.docx", "S 3758-2024")</f>
        <v/>
      </c>
      <c r="AC31">
        <f>HYPERLINK("https://klasma.github.io/Logging_1864/tillsyn/S 3758-2024 tillsynsbegäran.docx", "S 3758-2024")</f>
        <v/>
      </c>
      <c r="AD31">
        <f>HYPERLINK("https://klasma.github.io/Logging_1864/tillsynsmail/S 3758-2024 tillsynsbegäran mail.docx", "S 3758-2024")</f>
        <v/>
      </c>
    </row>
    <row r="32" ht="15" customHeight="1">
      <c r="A32" t="inlineStr">
        <is>
          <t>A 64400-2021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46261</v>
      </c>
      <c r="F32" t="inlineStr">
        <is>
          <t>ÖREBRO LÄN</t>
        </is>
      </c>
      <c r="G32" t="inlineStr">
        <is>
          <t>LJUSNARSBERG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46261</v>
      </c>
      <c r="F33" t="inlineStr">
        <is>
          <t>ÖREBRO LÄN</t>
        </is>
      </c>
      <c r="G33" t="inlineStr">
        <is>
          <t>LJUSNARSBERG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45859-2021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46261</v>
      </c>
      <c r="F34" t="inlineStr">
        <is>
          <t>ÖREBRO LÄN</t>
        </is>
      </c>
      <c r="G34" t="inlineStr">
        <is>
          <t>LJUSNARSBERG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72157-2021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44544</v>
      </c>
      <c r="E35" s="1" t="n">
        <v>46261</v>
      </c>
      <c r="F35" t="inlineStr">
        <is>
          <t>ÖREBRO LÄN</t>
        </is>
      </c>
      <c r="G35" t="inlineStr">
        <is>
          <t>LJUSNARSBERG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64978-2021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44513</v>
      </c>
      <c r="E36" s="1" t="n">
        <v>46261</v>
      </c>
      <c r="F36" t="inlineStr">
        <is>
          <t>ÖREBRO LÄN</t>
        </is>
      </c>
      <c r="G36" t="inlineStr">
        <is>
          <t>LJUSNARSBERG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46261</v>
      </c>
      <c r="F37" t="inlineStr">
        <is>
          <t>ÖREBRO LÄN</t>
        </is>
      </c>
      <c r="G37" t="inlineStr">
        <is>
          <t>LJUSNARSBERG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44293-2021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44435</v>
      </c>
      <c r="E38" s="1" t="n">
        <v>46261</v>
      </c>
      <c r="F38" t="inlineStr">
        <is>
          <t>ÖREBRO LÄN</t>
        </is>
      </c>
      <c r="G38" t="inlineStr">
        <is>
          <t>LJUSNARSBERG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44595</v>
      </c>
      <c r="E39" s="1" t="n">
        <v>46261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25773-2022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46261</v>
      </c>
      <c r="F40" t="inlineStr">
        <is>
          <t>ÖREBRO LÄN</t>
        </is>
      </c>
      <c r="G40" t="inlineStr">
        <is>
          <t>LJUSNARSBERG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46261</v>
      </c>
      <c r="F41" t="inlineStr">
        <is>
          <t>ÖREBRO LÄN</t>
        </is>
      </c>
      <c r="G41" t="inlineStr">
        <is>
          <t>LJUSNARSBERG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46261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46261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44282-2021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46261</v>
      </c>
      <c r="F44" t="inlineStr">
        <is>
          <t>ÖREBRO LÄN</t>
        </is>
      </c>
      <c r="G44" t="inlineStr">
        <is>
          <t>LJUSNARSBERG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33858-2022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46261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31998-2022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46261</v>
      </c>
      <c r="F46" t="inlineStr">
        <is>
          <t>ÖREBRO LÄN</t>
        </is>
      </c>
      <c r="G46" t="inlineStr">
        <is>
          <t>LJUSNARSBERG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46261</v>
      </c>
      <c r="F47" t="inlineStr">
        <is>
          <t>ÖREBRO LÄN</t>
        </is>
      </c>
      <c r="G47" t="inlineStr">
        <is>
          <t>LJUSNARSBERG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46261</v>
      </c>
      <c r="F48" t="inlineStr">
        <is>
          <t>ÖREBRO LÄN</t>
        </is>
      </c>
      <c r="G48" t="inlineStr">
        <is>
          <t>LJUSNARSBERG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13803-2024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45390</v>
      </c>
      <c r="E49" s="1" t="n">
        <v>46261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17.8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45764</v>
      </c>
      <c r="E50" s="1" t="n">
        <v>46261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46261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46013</v>
      </c>
      <c r="E52" s="1" t="n">
        <v>46261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44956</v>
      </c>
      <c r="E53" s="1" t="n">
        <v>46261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46261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45106</v>
      </c>
      <c r="E55" s="1" t="n">
        <v>46261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46261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46261</v>
      </c>
      <c r="F57" t="inlineStr">
        <is>
          <t>ÖREBRO LÄN</t>
        </is>
      </c>
      <c r="G57" t="inlineStr">
        <is>
          <t>LJUSNARSBERG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46261</v>
      </c>
      <c r="F58" t="inlineStr">
        <is>
          <t>ÖREBRO LÄN</t>
        </is>
      </c>
      <c r="G58" t="inlineStr">
        <is>
          <t>LJUSNARSBERG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46261</v>
      </c>
      <c r="F59" t="inlineStr">
        <is>
          <t>ÖREBRO LÄN</t>
        </is>
      </c>
      <c r="G59" t="inlineStr">
        <is>
          <t>LJUSNARSBERG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46261</v>
      </c>
      <c r="F60" t="inlineStr">
        <is>
          <t>ÖREBRO LÄN</t>
        </is>
      </c>
      <c r="G60" t="inlineStr">
        <is>
          <t>LJUSNARSBERG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46261</v>
      </c>
      <c r="F61" t="inlineStr">
        <is>
          <t>ÖREBRO LÄN</t>
        </is>
      </c>
      <c r="G61" t="inlineStr">
        <is>
          <t>LJUSNARSBERG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45124</v>
      </c>
      <c r="E62" s="1" t="n">
        <v>46261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46261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26469-2025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45807</v>
      </c>
      <c r="E64" s="1" t="n">
        <v>46261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45347</v>
      </c>
      <c r="E65" s="1" t="n">
        <v>46261</v>
      </c>
      <c r="F65" t="inlineStr">
        <is>
          <t>ÖREBRO LÄN</t>
        </is>
      </c>
      <c r="G65" t="inlineStr">
        <is>
          <t>LJUSNARSBERG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20673-2025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45776</v>
      </c>
      <c r="E66" s="1" t="n">
        <v>46261</v>
      </c>
      <c r="F66" t="inlineStr">
        <is>
          <t>ÖREBRO LÄN</t>
        </is>
      </c>
      <c r="G66" t="inlineStr">
        <is>
          <t>LJUSNARSBERG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46261</v>
      </c>
      <c r="F67" t="inlineStr">
        <is>
          <t>ÖREBRO LÄN</t>
        </is>
      </c>
      <c r="G67" t="inlineStr">
        <is>
          <t>LJUSNARSBERG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46261</v>
      </c>
      <c r="F68" t="inlineStr">
        <is>
          <t>ÖREBRO LÄN</t>
        </is>
      </c>
      <c r="G68" t="inlineStr">
        <is>
          <t>LJUSNARSBERG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46261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45895</v>
      </c>
      <c r="E70" s="1" t="n">
        <v>46261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46261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46261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46261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46261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46261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46261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46261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42287-2025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46261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45826</v>
      </c>
      <c r="E79" s="1" t="n">
        <v>46261</v>
      </c>
      <c r="F79" t="inlineStr">
        <is>
          <t>ÖREBRO LÄN</t>
        </is>
      </c>
      <c r="G79" t="inlineStr">
        <is>
          <t>LJUSNARSBERG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46261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46261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46261</v>
      </c>
      <c r="F82" t="inlineStr">
        <is>
          <t>ÖREBRO LÄN</t>
        </is>
      </c>
      <c r="G82" t="inlineStr">
        <is>
          <t>LJUSNARSBERG</t>
        </is>
      </c>
      <c r="I82" t="n">
        <v>17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46261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46261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46261</v>
      </c>
      <c r="F85" t="inlineStr">
        <is>
          <t>ÖREBRO LÄN</t>
        </is>
      </c>
      <c r="G85" t="inlineStr">
        <is>
          <t>LJUSNARSBERG</t>
        </is>
      </c>
      <c r="H85" t="inlineStr">
        <is>
          <t>Kyrkan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46261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46261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44880</v>
      </c>
      <c r="E88" s="1" t="n">
        <v>46261</v>
      </c>
      <c r="F88" t="inlineStr">
        <is>
          <t>ÖREBRO LÄN</t>
        </is>
      </c>
      <c r="G88" t="inlineStr">
        <is>
          <t>LJUSNARSBERG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46261</v>
      </c>
      <c r="F89" t="inlineStr">
        <is>
          <t>ÖREBRO LÄN</t>
        </is>
      </c>
      <c r="G89" t="inlineStr">
        <is>
          <t>LJUSNARSBERG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46261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46261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46261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46261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46261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46261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46261</v>
      </c>
      <c r="F96" t="inlineStr">
        <is>
          <t>ÖREBRO LÄN</t>
        </is>
      </c>
      <c r="G96" t="inlineStr">
        <is>
          <t>LJUSNARSBERG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46261</v>
      </c>
      <c r="F97" t="inlineStr">
        <is>
          <t>ÖREBRO LÄN</t>
        </is>
      </c>
      <c r="G97" t="inlineStr">
        <is>
          <t>LJUSNARSBERG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46261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45659</v>
      </c>
      <c r="E99" s="1" t="n">
        <v>46261</v>
      </c>
      <c r="F99" t="inlineStr">
        <is>
          <t>ÖREBRO LÄN</t>
        </is>
      </c>
      <c r="G99" t="inlineStr">
        <is>
          <t>LJUSNARSBERG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46261</v>
      </c>
      <c r="F100" t="inlineStr">
        <is>
          <t>ÖREBRO LÄN</t>
        </is>
      </c>
      <c r="G100" t="inlineStr">
        <is>
          <t>LJUSNARSBERG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46261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59497-2024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45638</v>
      </c>
      <c r="E102" s="1" t="n">
        <v>46261</v>
      </c>
      <c r="F102" t="inlineStr">
        <is>
          <t>ÖREBRO LÄN</t>
        </is>
      </c>
      <c r="G102" t="inlineStr">
        <is>
          <t>LJUSNARSBERG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45951</v>
      </c>
      <c r="E103" s="1" t="n">
        <v>46261</v>
      </c>
      <c r="F103" t="inlineStr">
        <is>
          <t>ÖREBRO LÄN</t>
        </is>
      </c>
      <c r="G103" t="inlineStr">
        <is>
          <t>LJUSNARSBERG</t>
        </is>
      </c>
      <c r="I103" t="n">
        <v>10.8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22887-2024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45448</v>
      </c>
      <c r="E104" s="1" t="n">
        <v>46261</v>
      </c>
      <c r="F104" t="inlineStr">
        <is>
          <t>ÖREBRO LÄN</t>
        </is>
      </c>
      <c r="G104" t="inlineStr">
        <is>
          <t>LJUSNARSBERG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46261</v>
      </c>
      <c r="F105" t="inlineStr">
        <is>
          <t>ÖREBRO LÄN</t>
        </is>
      </c>
      <c r="G105" t="inlineStr">
        <is>
          <t>LJUSNARSBERG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46261</v>
      </c>
      <c r="F106" t="inlineStr">
        <is>
          <t>ÖREBRO LÄN</t>
        </is>
      </c>
      <c r="G106" t="inlineStr">
        <is>
          <t>LJUSNARSBERG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46261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19936-2026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46261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46261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45578</v>
      </c>
      <c r="E110" s="1" t="n">
        <v>46261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46261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46261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46261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46261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46261</v>
      </c>
      <c r="F115" t="inlineStr">
        <is>
          <t>ÖREBRO LÄN</t>
        </is>
      </c>
      <c r="G115" t="inlineStr">
        <is>
          <t>LJUSNARSBERG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46261</v>
      </c>
      <c r="F116" t="inlineStr">
        <is>
          <t>ÖREBRO LÄN</t>
        </is>
      </c>
      <c r="G116" t="inlineStr">
        <is>
          <t>LJUSNARSBERG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46261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46261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46261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46261</v>
      </c>
      <c r="F120" t="inlineStr">
        <is>
          <t>ÖREBRO LÄN</t>
        </is>
      </c>
      <c r="G120" t="inlineStr">
        <is>
          <t>LJUSNARSBERG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46261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46146</v>
      </c>
      <c r="E122" s="1" t="n">
        <v>46261</v>
      </c>
      <c r="F122" t="inlineStr">
        <is>
          <t>ÖREBRO LÄN</t>
        </is>
      </c>
      <c r="G122" t="inlineStr">
        <is>
          <t>LJUSNARSBERG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46261</v>
      </c>
      <c r="F123" t="inlineStr">
        <is>
          <t>ÖREBRO LÄN</t>
        </is>
      </c>
      <c r="G123" t="inlineStr">
        <is>
          <t>LJUSNARSBERG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46261</v>
      </c>
      <c r="F124" t="inlineStr">
        <is>
          <t>ÖREBRO LÄN</t>
        </is>
      </c>
      <c r="G124" t="inlineStr">
        <is>
          <t>LJUSNARSBERG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25574-2023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45089</v>
      </c>
      <c r="E125" s="1" t="n">
        <v>46261</v>
      </c>
      <c r="F125" t="inlineStr">
        <is>
          <t>ÖREBRO LÄN</t>
        </is>
      </c>
      <c r="G125" t="inlineStr">
        <is>
          <t>LJUSNARSBERG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46261</v>
      </c>
      <c r="F126" t="inlineStr">
        <is>
          <t>ÖREBRO LÄN</t>
        </is>
      </c>
      <c r="G126" t="inlineStr">
        <is>
          <t>LJUSNARSBERG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22366-2026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46261</v>
      </c>
      <c r="F127" t="inlineStr">
        <is>
          <t>ÖREBRO LÄN</t>
        </is>
      </c>
      <c r="G127" t="inlineStr">
        <is>
          <t>LJUSNARSBERG</t>
        </is>
      </c>
      <c r="I127" t="n">
        <v>14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45839</v>
      </c>
      <c r="E128" s="1" t="n">
        <v>46261</v>
      </c>
      <c r="F128" t="inlineStr">
        <is>
          <t>ÖREBRO LÄN</t>
        </is>
      </c>
      <c r="G128" t="inlineStr">
        <is>
          <t>LJUSNARSBERG</t>
        </is>
      </c>
      <c r="H128" t="inlineStr">
        <is>
          <t>Kommuner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45085</v>
      </c>
      <c r="E129" s="1" t="n">
        <v>46261</v>
      </c>
      <c r="F129" t="inlineStr">
        <is>
          <t>ÖREBRO LÄN</t>
        </is>
      </c>
      <c r="G129" t="inlineStr">
        <is>
          <t>LJUSNARSBERG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46261</v>
      </c>
      <c r="F130" t="inlineStr">
        <is>
          <t>ÖREBRO LÄN</t>
        </is>
      </c>
      <c r="G130" t="inlineStr">
        <is>
          <t>LJUSNARSBERG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46261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46261</v>
      </c>
      <c r="F132" t="inlineStr">
        <is>
          <t>ÖREBRO LÄN</t>
        </is>
      </c>
      <c r="G132" t="inlineStr">
        <is>
          <t>LJUSNARSBERG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46261</v>
      </c>
      <c r="F133" t="inlineStr">
        <is>
          <t>ÖREBRO LÄN</t>
        </is>
      </c>
      <c r="G133" t="inlineStr">
        <is>
          <t>LJUSNARSBERG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46261</v>
      </c>
      <c r="F134" t="inlineStr">
        <is>
          <t>ÖREBRO LÄN</t>
        </is>
      </c>
      <c r="G134" t="inlineStr">
        <is>
          <t>LJUSNARSBERG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46261</v>
      </c>
      <c r="F135" t="inlineStr">
        <is>
          <t>ÖREBRO LÄN</t>
        </is>
      </c>
      <c r="G135" t="inlineStr">
        <is>
          <t>LJUSNARSBERG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46261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46261</v>
      </c>
      <c r="F137" t="inlineStr">
        <is>
          <t>ÖREBRO LÄN</t>
        </is>
      </c>
      <c r="G137" t="inlineStr">
        <is>
          <t>LJUSNARSBERG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46167</v>
      </c>
      <c r="E138" s="1" t="n">
        <v>46261</v>
      </c>
      <c r="F138" t="inlineStr">
        <is>
          <t>ÖREBRO LÄN</t>
        </is>
      </c>
      <c r="G138" t="inlineStr">
        <is>
          <t>LJUSNARSBERG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46261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46261</v>
      </c>
      <c r="F140" t="inlineStr">
        <is>
          <t>ÖREBRO LÄN</t>
        </is>
      </c>
      <c r="G140" t="inlineStr">
        <is>
          <t>LJUSNARSBERG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44720</v>
      </c>
      <c r="E141" s="1" t="n">
        <v>46261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46261</v>
      </c>
      <c r="F142" t="inlineStr">
        <is>
          <t>ÖREBRO LÄN</t>
        </is>
      </c>
      <c r="G142" t="inlineStr">
        <is>
          <t>LJUSNARSBERG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44720</v>
      </c>
      <c r="E143" s="1" t="n">
        <v>46261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44734</v>
      </c>
      <c r="E144" s="1" t="n">
        <v>46261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46261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46185</v>
      </c>
      <c r="E146" s="1" t="n">
        <v>46261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46261</v>
      </c>
      <c r="F147" t="inlineStr">
        <is>
          <t>ÖREBRO LÄN</t>
        </is>
      </c>
      <c r="G147" t="inlineStr">
        <is>
          <t>LJUSNARSBERG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46261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46261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46263-2021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44442</v>
      </c>
      <c r="E150" s="1" t="n">
        <v>46261</v>
      </c>
      <c r="F150" t="inlineStr">
        <is>
          <t>ÖREBRO LÄN</t>
        </is>
      </c>
      <c r="G150" t="inlineStr">
        <is>
          <t>LJUSNARSBERG</t>
        </is>
      </c>
      <c r="I150" t="n">
        <v>8.699999999999999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44917</v>
      </c>
      <c r="E151" s="1" t="n">
        <v>46261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44438</v>
      </c>
      <c r="E152" s="1" t="n">
        <v>46261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46261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46261</v>
      </c>
      <c r="F154" t="inlineStr">
        <is>
          <t>ÖREBRO LÄN</t>
        </is>
      </c>
      <c r="G154" t="inlineStr">
        <is>
          <t>LJUSNARSBERG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33245-2026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46246</v>
      </c>
      <c r="E155" s="1" t="n">
        <v>46261</v>
      </c>
      <c r="F155" t="inlineStr">
        <is>
          <t>ÖREBRO LÄN</t>
        </is>
      </c>
      <c r="G155" t="inlineStr">
        <is>
          <t>LJUSNARSBERG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46261</v>
      </c>
      <c r="F156" t="inlineStr">
        <is>
          <t>ÖREBRO LÄN</t>
        </is>
      </c>
      <c r="G156" t="inlineStr">
        <is>
          <t>LJUSNARSBERG</t>
        </is>
      </c>
      <c r="H156" t="inlineStr">
        <is>
          <t>Kyrkan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67746-2021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44524</v>
      </c>
      <c r="E157" s="1" t="n">
        <v>46261</v>
      </c>
      <c r="F157" t="inlineStr">
        <is>
          <t>ÖREBRO LÄN</t>
        </is>
      </c>
      <c r="G157" t="inlineStr">
        <is>
          <t>LJUSNARSBERG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46261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46261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46261</v>
      </c>
      <c r="F160" t="inlineStr">
        <is>
          <t>ÖREBRO LÄN</t>
        </is>
      </c>
      <c r="G160" t="inlineStr">
        <is>
          <t>LJUSNARSBERG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44564</v>
      </c>
      <c r="E161" s="1" t="n">
        <v>46261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46261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45463</v>
      </c>
      <c r="E163" s="1" t="n">
        <v>46261</v>
      </c>
      <c r="F163" t="inlineStr">
        <is>
          <t>ÖREBRO LÄN</t>
        </is>
      </c>
      <c r="G163" t="inlineStr">
        <is>
          <t>LJUSNARSBERG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45217</v>
      </c>
      <c r="E164" s="1" t="n">
        <v>46261</v>
      </c>
      <c r="F164" t="inlineStr">
        <is>
          <t>ÖREBRO LÄN</t>
        </is>
      </c>
      <c r="G164" t="inlineStr">
        <is>
          <t>LJUSNARSBERG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45649</v>
      </c>
      <c r="E165" s="1" t="n">
        <v>46261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46261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46261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44694</v>
      </c>
      <c r="E168" s="1" t="n">
        <v>46261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46261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46261</v>
      </c>
      <c r="F170" t="inlineStr">
        <is>
          <t>ÖREBRO LÄN</t>
        </is>
      </c>
      <c r="G170" t="inlineStr">
        <is>
          <t>LJUSNARSBERG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44790</v>
      </c>
      <c r="E171" s="1" t="n">
        <v>46261</v>
      </c>
      <c r="F171" t="inlineStr">
        <is>
          <t>ÖREBRO LÄN</t>
        </is>
      </c>
      <c r="G171" t="inlineStr">
        <is>
          <t>LJUSNARSBERG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46261</v>
      </c>
      <c r="F172" t="inlineStr">
        <is>
          <t>ÖREBRO LÄN</t>
        </is>
      </c>
      <c r="G172" t="inlineStr">
        <is>
          <t>LJUSNARSBERG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57129-2021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44482</v>
      </c>
      <c r="E173" s="1" t="n">
        <v>46261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46261</v>
      </c>
      <c r="F174" t="inlineStr">
        <is>
          <t>ÖREBRO LÄN</t>
        </is>
      </c>
      <c r="G174" t="inlineStr">
        <is>
          <t>LJUSNARSBERG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45399</v>
      </c>
      <c r="E175" s="1" t="n">
        <v>46261</v>
      </c>
      <c r="F175" t="inlineStr">
        <is>
          <t>ÖREBRO LÄN</t>
        </is>
      </c>
      <c r="G175" t="inlineStr">
        <is>
          <t>LJUSNARSBERG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46261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44607</v>
      </c>
      <c r="E177" s="1" t="n">
        <v>46261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62843-2021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46261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46261</v>
      </c>
      <c r="F179" t="inlineStr">
        <is>
          <t>ÖREBRO LÄN</t>
        </is>
      </c>
      <c r="G179" t="inlineStr">
        <is>
          <t>LJUSNARSBERG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46261</v>
      </c>
      <c r="F180" t="inlineStr">
        <is>
          <t>ÖREBRO LÄN</t>
        </is>
      </c>
      <c r="G180" t="inlineStr">
        <is>
          <t>LJUSNARSBERG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46261</v>
      </c>
      <c r="F181" t="inlineStr">
        <is>
          <t>ÖREBRO LÄN</t>
        </is>
      </c>
      <c r="G181" t="inlineStr">
        <is>
          <t>LJUSNARSBERG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46261</v>
      </c>
      <c r="F182" t="inlineStr">
        <is>
          <t>ÖREBRO LÄN</t>
        </is>
      </c>
      <c r="G182" t="inlineStr">
        <is>
          <t>LJUSNARSBERG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46261</v>
      </c>
      <c r="F183" t="inlineStr">
        <is>
          <t>ÖREBRO LÄN</t>
        </is>
      </c>
      <c r="G183" t="inlineStr">
        <is>
          <t>LJUSNARSBERG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46261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45030</v>
      </c>
      <c r="E185" s="1" t="n">
        <v>46261</v>
      </c>
      <c r="F185" t="inlineStr">
        <is>
          <t>ÖREBRO LÄN</t>
        </is>
      </c>
      <c r="G185" t="inlineStr">
        <is>
          <t>LJUSNARSBERG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45578</v>
      </c>
      <c r="E186" s="1" t="n">
        <v>46261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46261</v>
      </c>
      <c r="F187" t="inlineStr">
        <is>
          <t>ÖREBRO LÄN</t>
        </is>
      </c>
      <c r="G187" t="inlineStr">
        <is>
          <t>LJUSNARSBERG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46261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44690</v>
      </c>
      <c r="E189" s="1" t="n">
        <v>46261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59495-2024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45638</v>
      </c>
      <c r="E190" s="1" t="n">
        <v>46261</v>
      </c>
      <c r="F190" t="inlineStr">
        <is>
          <t>ÖREBRO LÄN</t>
        </is>
      </c>
      <c r="G190" t="inlineStr">
        <is>
          <t>LJUSNARSBERG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46261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46261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46261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46261</v>
      </c>
      <c r="F194" t="inlineStr">
        <is>
          <t>ÖREBRO LÄN</t>
        </is>
      </c>
      <c r="G194" t="inlineStr">
        <is>
          <t>LJUSNARSBERG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46261</v>
      </c>
      <c r="F195" t="inlineStr">
        <is>
          <t>ÖREBRO LÄN</t>
        </is>
      </c>
      <c r="G195" t="inlineStr">
        <is>
          <t>LJUSNARSBERG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45593</v>
      </c>
      <c r="E196" s="1" t="n">
        <v>46261</v>
      </c>
      <c r="F196" t="inlineStr">
        <is>
          <t>ÖREBRO LÄN</t>
        </is>
      </c>
      <c r="G196" t="inlineStr">
        <is>
          <t>LJUSNARSBERG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46261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46261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3541-2022</t>
        </is>
      </c>
      <c r="B199" t="inlineStr">
        <is>
          <t>samrådsanmälan</t>
        </is>
      </c>
      <c r="C199" t="inlineStr">
        <is>
          <t>Skogsbilväg</t>
        </is>
      </c>
      <c r="D199" s="1" t="n">
        <v>44734</v>
      </c>
      <c r="E199" s="1" t="n">
        <v>46261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10473-2021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44559</v>
      </c>
      <c r="E200" s="1" t="n">
        <v>46261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410-2022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44585</v>
      </c>
      <c r="E201" s="1" t="n">
        <v>46261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36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1099-2022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44615</v>
      </c>
      <c r="E202" s="1" t="n">
        <v>46261</v>
      </c>
      <c r="F202" t="inlineStr">
        <is>
          <t>ÖREBRO LÄN</t>
        </is>
      </c>
      <c r="G202" t="inlineStr">
        <is>
          <t>LJUSNARSBERG</t>
        </is>
      </c>
      <c r="H202" t="inlineStr">
        <is>
          <t>Sveaskog</t>
        </is>
      </c>
      <c r="I202" t="n">
        <v>147.4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880-2024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45376</v>
      </c>
      <c r="E203" s="1" t="n">
        <v>46261</v>
      </c>
      <c r="F203" t="inlineStr">
        <is>
          <t>ÖREBRO LÄN</t>
        </is>
      </c>
      <c r="G203" t="inlineStr">
        <is>
          <t>LJUSNARSBERG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3528-2023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45205</v>
      </c>
      <c r="E204" s="1" t="n">
        <v>46261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7278-2021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44467</v>
      </c>
      <c r="E205" s="1" t="n">
        <v>46261</v>
      </c>
      <c r="F205" t="inlineStr">
        <is>
          <t>ÖREBRO LÄN</t>
        </is>
      </c>
      <c r="G205" t="inlineStr">
        <is>
          <t>LJUSNARSBERG</t>
        </is>
      </c>
      <c r="H205" t="inlineStr">
        <is>
          <t>Kommuner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46261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7277-2021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46261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46261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46261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46261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46261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46261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1743-2026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46185</v>
      </c>
      <c r="E213" s="1" t="n">
        <v>46261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1624-2026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46174</v>
      </c>
      <c r="E214" s="1" t="n">
        <v>46261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2026-08-27T01:53:47Z</dcterms:created>
  <dcterms:modified xmlns:dcterms="http://purl.org/dc/terms/" xmlns:xsi="http://www.w3.org/2001/XMLSchema-instance" xsi:type="dcterms:W3CDTF">2026-08-27T01:53:47Z</dcterms:modified>
</cp:coreProperties>
</file>