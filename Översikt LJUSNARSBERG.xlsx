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46231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46231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46231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46231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46231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46231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46231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46231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46231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43996-2021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46231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8.4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Fältgentiana
Tvåblad
Fläcknycklar
Nattviol</t>
        </is>
      </c>
      <c r="W11">
        <f>HYPERLINK("https://klasma.github.io/Logging_1864/artfynd/A 43996-2021 artfynd.xlsx", "A 43996-2021")</f>
        <v/>
      </c>
      <c r="X11">
        <f>HYPERLINK("https://klasma.github.io/Logging_1864/kartor/A 43996-2021 karta.png", "A 43996-2021")</f>
        <v/>
      </c>
      <c r="Y11">
        <f>HYPERLINK("https://klasma.github.io/Logging_1864/kartor_geotiff/A 43996-2021 georefererad karta.tif", "A 43996-2021")</f>
        <v/>
      </c>
      <c r="AA11">
        <f>HYPERLINK("https://klasma.github.io/Logging_1864/klagomål/A 43996-2021 FSC-klagomål.docx", "A 43996-2021")</f>
        <v/>
      </c>
      <c r="AB11">
        <f>HYPERLINK("https://klasma.github.io/Logging_1864/klagomålsmail/A 43996-2021 FSC-klagomål mail.docx", "A 43996-2021")</f>
        <v/>
      </c>
      <c r="AC11">
        <f>HYPERLINK("https://klasma.github.io/Logging_1864/tillsyn/A 43996-2021 tillsynsbegäran.docx", "A 43996-2021")</f>
        <v/>
      </c>
      <c r="AD11">
        <f>HYPERLINK("https://klasma.github.io/Logging_1864/tillsynsmail/A 43996-2021 tillsynsbegäran mail.docx", "A 43996-2021")</f>
        <v/>
      </c>
    </row>
    <row r="12" ht="15" customHeight="1">
      <c r="A12" t="inlineStr">
        <is>
          <t>A 24307-2026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46231</v>
      </c>
      <c r="F12" t="inlineStr">
        <is>
          <t>ÖREBRO LÄN</t>
        </is>
      </c>
      <c r="G12" t="inlineStr">
        <is>
          <t>LJUSNARSBERG</t>
        </is>
      </c>
      <c r="I12" t="n">
        <v>10.5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11</v>
      </c>
      <c r="U12" t="n">
        <v>11</v>
      </c>
      <c r="V12" s="2" t="inlineStr">
        <is>
          <t>Tretåig hackspett
Tjäder
Vanlig groda
Fläcknycklar</t>
        </is>
      </c>
      <c r="W12">
        <f>HYPERLINK("https://klasma.github.io/Logging_1864/artfynd/A 24307-2026 artfynd.xlsx", "A 24307-2026")</f>
        <v/>
      </c>
      <c r="X12">
        <f>HYPERLINK("https://klasma.github.io/Logging_1864/kartor/A 24307-2026 karta.png", "A 24307-2026")</f>
        <v/>
      </c>
      <c r="Y12">
        <f>HYPERLINK("https://klasma.github.io/Logging_1864/kartor_geotiff/A 24307-2026 georefererad karta.tif", "A 24307-2026")</f>
        <v/>
      </c>
      <c r="AA12">
        <f>HYPERLINK("https://klasma.github.io/Logging_1864/klagomål/A 24307-2026 FSC-klagomål.docx", "A 24307-2026")</f>
        <v/>
      </c>
      <c r="AB12">
        <f>HYPERLINK("https://klasma.github.io/Logging_1864/klagomålsmail/A 24307-2026 FSC-klagomål mail.docx", "A 24307-2026")</f>
        <v/>
      </c>
      <c r="AC12">
        <f>HYPERLINK("https://klasma.github.io/Logging_1864/tillsyn/A 24307-2026 tillsynsbegäran.docx", "A 24307-2026")</f>
        <v/>
      </c>
      <c r="AD12">
        <f>HYPERLINK("https://klasma.github.io/Logging_1864/tillsynsmail/A 24307-2026 tillsynsbegäran mail.docx", "A 24307-2026")</f>
        <v/>
      </c>
      <c r="AE12">
        <f>HYPERLINK("https://klasma.github.io/Logging_1864/fåglar/A 24307-2026 prioriterade fågelarter.docx", "A 24307-2026")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46231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46231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62105-2022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44920</v>
      </c>
      <c r="E15" s="1" t="n">
        <v>46231</v>
      </c>
      <c r="F15" t="inlineStr">
        <is>
          <t>ÖREBRO LÄN</t>
        </is>
      </c>
      <c r="G15" t="inlineStr">
        <is>
          <t>LJUSNARSBERG</t>
        </is>
      </c>
      <c r="I15" t="n">
        <v>5.7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7</v>
      </c>
      <c r="U15" t="n">
        <v>7</v>
      </c>
      <c r="V15" s="2" t="inlineStr">
        <is>
          <t>Spillkråka
Kungsfågel</t>
        </is>
      </c>
      <c r="W15">
        <f>HYPERLINK("https://klasma.github.io/Logging_1864/artfynd/A 62105-2022 artfynd.xlsx", "A 62105-2022")</f>
        <v/>
      </c>
      <c r="X15">
        <f>HYPERLINK("https://klasma.github.io/Logging_1864/kartor/A 62105-2022 karta.png", "A 62105-2022")</f>
        <v/>
      </c>
      <c r="Y15">
        <f>HYPERLINK("https://klasma.github.io/Logging_1864/kartor_geotiff/A 62105-2022 georefererad karta.tif", "A 62105-2022")</f>
        <v/>
      </c>
      <c r="AA15">
        <f>HYPERLINK("https://klasma.github.io/Logging_1864/klagomål/A 62105-2022 FSC-klagomål.docx", "A 62105-2022")</f>
        <v/>
      </c>
      <c r="AB15">
        <f>HYPERLINK("https://klasma.github.io/Logging_1864/klagomålsmail/A 62105-2022 FSC-klagomål mail.docx", "A 62105-2022")</f>
        <v/>
      </c>
      <c r="AC15">
        <f>HYPERLINK("https://klasma.github.io/Logging_1864/tillsyn/A 62105-2022 tillsynsbegäran.docx", "A 62105-2022")</f>
        <v/>
      </c>
      <c r="AD15">
        <f>HYPERLINK("https://klasma.github.io/Logging_1864/tillsynsmail/A 62105-2022 tillsynsbegäran mail.docx", "A 62105-2022")</f>
        <v/>
      </c>
      <c r="AE15">
        <f>HYPERLINK("https://klasma.github.io/Logging_1864/fåglar/A 62105-2022 prioriterade fågelarter.docx", "A 62105-2022")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46231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53729-2024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45614</v>
      </c>
      <c r="E17" s="1" t="n">
        <v>46231</v>
      </c>
      <c r="F17" t="inlineStr">
        <is>
          <t>ÖREBRO LÄN</t>
        </is>
      </c>
      <c r="G17" t="inlineStr">
        <is>
          <t>LJUSNARSBERG</t>
        </is>
      </c>
      <c r="I17" t="n">
        <v>14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Aspfjädermossa
Smal svampklubba</t>
        </is>
      </c>
      <c r="W17">
        <f>HYPERLINK("https://klasma.github.io/Logging_1864/artfynd/A 53729-2024 artfynd.xlsx", "A 53729-2024")</f>
        <v/>
      </c>
      <c r="X17">
        <f>HYPERLINK("https://klasma.github.io/Logging_1864/kartor/A 53729-2024 karta.png", "A 53729-2024")</f>
        <v/>
      </c>
      <c r="Y17">
        <f>HYPERLINK("https://klasma.github.io/Logging_1864/kartor_geotiff/A 53729-2024 georefererad karta.tif", "A 53729-2024")</f>
        <v/>
      </c>
      <c r="AA17">
        <f>HYPERLINK("https://klasma.github.io/Logging_1864/klagomål/A 53729-2024 FSC-klagomål.docx", "A 53729-2024")</f>
        <v/>
      </c>
      <c r="AB17">
        <f>HYPERLINK("https://klasma.github.io/Logging_1864/klagomålsmail/A 53729-2024 FSC-klagomål mail.docx", "A 53729-2024")</f>
        <v/>
      </c>
      <c r="AC17">
        <f>HYPERLINK("https://klasma.github.io/Logging_1864/tillsyn/A 53729-2024 tillsynsbegäran.docx", "A 53729-2024")</f>
        <v/>
      </c>
      <c r="AD17">
        <f>HYPERLINK("https://klasma.github.io/Logging_1864/tillsynsmail/A 53729-2024 tillsynsbegäran mail.docx", "A 53729-2024")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46231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46231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46231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45536-2024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45578</v>
      </c>
      <c r="E21" s="1" t="n">
        <v>46231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5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Tvåblad
Fläcknycklar</t>
        </is>
      </c>
      <c r="W21">
        <f>HYPERLINK("https://klasma.github.io/Logging_1864/artfynd/A 45536-2024 artfynd.xlsx", "A 45536-2024")</f>
        <v/>
      </c>
      <c r="X21">
        <f>HYPERLINK("https://klasma.github.io/Logging_1864/kartor/A 45536-2024 karta.png", "A 45536-2024")</f>
        <v/>
      </c>
      <c r="Y21">
        <f>HYPERLINK("https://klasma.github.io/Logging_1864/kartor_geotiff/A 45536-2024 georefererad karta.tif", "A 45536-2024")</f>
        <v/>
      </c>
      <c r="AA21">
        <f>HYPERLINK("https://klasma.github.io/Logging_1864/klagomål/A 45536-2024 FSC-klagomål.docx", "A 45536-2024")</f>
        <v/>
      </c>
      <c r="AB21">
        <f>HYPERLINK("https://klasma.github.io/Logging_1864/klagomålsmail/A 45536-2024 FSC-klagomål mail.docx", "A 45536-2024")</f>
        <v/>
      </c>
      <c r="AC21">
        <f>HYPERLINK("https://klasma.github.io/Logging_1864/tillsyn/A 45536-2024 tillsynsbegäran.docx", "A 45536-2024")</f>
        <v/>
      </c>
      <c r="AD21">
        <f>HYPERLINK("https://klasma.github.io/Logging_1864/tillsynsmail/A 45536-2024 tillsynsbegäran mail.docx", "A 45536-2024")</f>
        <v/>
      </c>
    </row>
    <row r="22" ht="15" customHeight="1">
      <c r="A22" t="inlineStr">
        <is>
          <t>A 56179-2024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46231</v>
      </c>
      <c r="F22" t="inlineStr">
        <is>
          <t>ÖREBRO LÄN</t>
        </is>
      </c>
      <c r="G22" t="inlineStr">
        <is>
          <t>LJUSNARSBERG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Vedticka</t>
        </is>
      </c>
      <c r="W22">
        <f>HYPERLINK("https://klasma.github.io/Logging_1864/artfynd/A 56179-2024 artfynd.xlsx", "A 56179-2024")</f>
        <v/>
      </c>
      <c r="X22">
        <f>HYPERLINK("https://klasma.github.io/Logging_1864/kartor/A 56179-2024 karta.png", "A 56179-2024")</f>
        <v/>
      </c>
      <c r="Y22">
        <f>HYPERLINK("https://klasma.github.io/Logging_1864/kartor_geotiff/A 56179-2024 georefererad karta.tif", "A 56179-2024")</f>
        <v/>
      </c>
      <c r="AA22">
        <f>HYPERLINK("https://klasma.github.io/Logging_1864/klagomål/A 56179-2024 FSC-klagomål.docx", "A 56179-2024")</f>
        <v/>
      </c>
      <c r="AB22">
        <f>HYPERLINK("https://klasma.github.io/Logging_1864/klagomålsmail/A 56179-2024 FSC-klagomål mail.docx", "A 56179-2024")</f>
        <v/>
      </c>
      <c r="AC22">
        <f>HYPERLINK("https://klasma.github.io/Logging_1864/tillsyn/A 56179-2024 tillsynsbegäran.docx", "A 56179-2024")</f>
        <v/>
      </c>
      <c r="AD22">
        <f>HYPERLINK("https://klasma.github.io/Logging_1864/tillsynsmail/A 56179-2024 tillsynsbegäran mail.docx", "A 56179-2024")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46231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46231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46231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46231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24299-2026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46231</v>
      </c>
      <c r="F27" t="inlineStr">
        <is>
          <t>ÖREBRO LÄN</t>
        </is>
      </c>
      <c r="G27" t="inlineStr">
        <is>
          <t>LJUSNARSBERG</t>
        </is>
      </c>
      <c r="I27" t="n">
        <v>10.8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HYPERLINK("https://klasma.github.io/Logging_1864/artfynd/A 24299-2026 artfynd.xlsx", "A 24299-2026")</f>
        <v/>
      </c>
      <c r="X27">
        <f>HYPERLINK("https://klasma.github.io/Logging_1864/kartor/A 24299-2026 karta.png", "A 24299-2026")</f>
        <v/>
      </c>
      <c r="Y27">
        <f>HYPERLINK("https://klasma.github.io/Logging_1864/kartor_geotiff/A 24299-2026 georefererad karta.tif", "A 24299-2026")</f>
        <v/>
      </c>
      <c r="AA27">
        <f>HYPERLINK("https://klasma.github.io/Logging_1864/klagomål/A 24299-2026 FSC-klagomål.docx", "A 24299-2026")</f>
        <v/>
      </c>
      <c r="AB27">
        <f>HYPERLINK("https://klasma.github.io/Logging_1864/klagomålsmail/A 24299-2026 FSC-klagomål mail.docx", "A 24299-2026")</f>
        <v/>
      </c>
      <c r="AC27">
        <f>HYPERLINK("https://klasma.github.io/Logging_1864/tillsyn/A 24299-2026 tillsynsbegäran.docx", "A 24299-2026")</f>
        <v/>
      </c>
      <c r="AD27">
        <f>HYPERLINK("https://klasma.github.io/Logging_1864/tillsynsmail/A 24299-2026 tillsynsbegäran mail.docx", "A 24299-2026")</f>
        <v/>
      </c>
      <c r="AE27">
        <f>HYPERLINK("https://klasma.github.io/Logging_1864/fåglar/A 24299-2026 prioriterade fågelarter.docx", "A 24299-2026")</f>
        <v/>
      </c>
    </row>
    <row r="28" ht="15" customHeight="1">
      <c r="A28" t="inlineStr">
        <is>
          <t>A 24348-2026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46231</v>
      </c>
      <c r="F28" t="inlineStr">
        <is>
          <t>ÖREBRO LÄN</t>
        </is>
      </c>
      <c r="G28" t="inlineStr">
        <is>
          <t>LJUSNARSBERG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HYPERLINK("https://klasma.github.io/Logging_1864/artfynd/A 24348-2026 artfynd.xlsx", "A 24348-2026")</f>
        <v/>
      </c>
      <c r="X28">
        <f>HYPERLINK("https://klasma.github.io/Logging_1864/kartor/A 24348-2026 karta.png", "A 24348-2026")</f>
        <v/>
      </c>
      <c r="Y28">
        <f>HYPERLINK("https://klasma.github.io/Logging_1864/kartor_geotiff/A 24348-2026 georefererad karta.tif", "A 24348-2026")</f>
        <v/>
      </c>
      <c r="AA28">
        <f>HYPERLINK("https://klasma.github.io/Logging_1864/klagomål/A 24348-2026 FSC-klagomål.docx", "A 24348-2026")</f>
        <v/>
      </c>
      <c r="AB28">
        <f>HYPERLINK("https://klasma.github.io/Logging_1864/klagomålsmail/A 24348-2026 FSC-klagomål mail.docx", "A 24348-2026")</f>
        <v/>
      </c>
      <c r="AC28">
        <f>HYPERLINK("https://klasma.github.io/Logging_1864/tillsyn/A 24348-2026 tillsynsbegäran.docx", "A 24348-2026")</f>
        <v/>
      </c>
      <c r="AD28">
        <f>HYPERLINK("https://klasma.github.io/Logging_1864/tillsynsmail/A 24348-2026 tillsynsbegäran mail.docx", "A 24348-2026")</f>
        <v/>
      </c>
      <c r="AE28">
        <f>HYPERLINK("https://klasma.github.io/Logging_1864/fåglar/A 24348-2026 prioriterade fågelarter.docx", "A 24348-2026")</f>
        <v/>
      </c>
    </row>
    <row r="29" ht="15" customHeight="1">
      <c r="A29" t="inlineStr">
        <is>
          <t>A 24791-2024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45460</v>
      </c>
      <c r="E29" s="1" t="n">
        <v>46231</v>
      </c>
      <c r="F29" t="inlineStr">
        <is>
          <t>ÖREBRO LÄN</t>
        </is>
      </c>
      <c r="G29" t="inlineStr">
        <is>
          <t>LJUSNARSBERG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3</v>
      </c>
      <c r="U29" t="n">
        <v>3</v>
      </c>
      <c r="V29" s="2" t="inlineStr">
        <is>
          <t>Spillkråka</t>
        </is>
      </c>
      <c r="W29">
        <f>HYPERLINK("https://klasma.github.io/Logging_1864/artfynd/A 24791-2024 artfynd.xlsx", "A 24791-2024")</f>
        <v/>
      </c>
      <c r="X29">
        <f>HYPERLINK("https://klasma.github.io/Logging_1864/kartor/A 24791-2024 karta.png", "A 24791-2024")</f>
        <v/>
      </c>
      <c r="Y29">
        <f>HYPERLINK("https://klasma.github.io/Logging_1864/kartor_geotiff/A 24791-2024 georefererad karta.tif", "A 24791-2024")</f>
        <v/>
      </c>
      <c r="AA29">
        <f>HYPERLINK("https://klasma.github.io/Logging_1864/klagomål/A 24791-2024 FSC-klagomål.docx", "A 24791-2024")</f>
        <v/>
      </c>
      <c r="AB29">
        <f>HYPERLINK("https://klasma.github.io/Logging_1864/klagomålsmail/A 24791-2024 FSC-klagomål mail.docx", "A 24791-2024")</f>
        <v/>
      </c>
      <c r="AC29">
        <f>HYPERLINK("https://klasma.github.io/Logging_1864/tillsyn/A 24791-2024 tillsynsbegäran.docx", "A 24791-2024")</f>
        <v/>
      </c>
      <c r="AD29">
        <f>HYPERLINK("https://klasma.github.io/Logging_1864/tillsynsmail/A 24791-2024 tillsynsbegäran mail.docx", "A 24791-2024")</f>
        <v/>
      </c>
      <c r="AE29">
        <f>HYPERLINK("https://klasma.github.io/Logging_1864/fåglar/A 24791-2024 prioriterade fågelarter.docx", "A 24791-2024")</f>
        <v/>
      </c>
    </row>
    <row r="30" ht="15" customHeight="1">
      <c r="A30" t="inlineStr">
        <is>
          <t>A 56859-2025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45975</v>
      </c>
      <c r="E30" s="1" t="n">
        <v>46231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Större vattensalamander</t>
        </is>
      </c>
      <c r="W30">
        <f>HYPERLINK("https://klasma.github.io/Logging_1864/artfynd/A 56859-2025 artfynd.xlsx", "A 56859-2025")</f>
        <v/>
      </c>
      <c r="X30">
        <f>HYPERLINK("https://klasma.github.io/Logging_1864/kartor/A 56859-2025 karta.png", "A 56859-2025")</f>
        <v/>
      </c>
      <c r="Y30">
        <f>HYPERLINK("https://klasma.github.io/Logging_1864/kartor_geotiff/A 56859-2025 georefererad karta.tif", "A 56859-2025")</f>
        <v/>
      </c>
      <c r="AA30">
        <f>HYPERLINK("https://klasma.github.io/Logging_1864/klagomål/A 56859-2025 FSC-klagomål.docx", "A 56859-2025")</f>
        <v/>
      </c>
      <c r="AB30">
        <f>HYPERLINK("https://klasma.github.io/Logging_1864/klagomålsmail/A 56859-2025 FSC-klagomål mail.docx", "A 56859-2025")</f>
        <v/>
      </c>
      <c r="AC30">
        <f>HYPERLINK("https://klasma.github.io/Logging_1864/tillsyn/A 56859-2025 tillsynsbegäran.docx", "A 56859-2025")</f>
        <v/>
      </c>
      <c r="AD30">
        <f>HYPERLINK("https://klasma.github.io/Logging_1864/tillsynsmail/A 56859-2025 tillsynsbegäran mail.docx", "A 56859-2025")</f>
        <v/>
      </c>
    </row>
    <row r="31" ht="15" customHeight="1">
      <c r="A31" t="inlineStr">
        <is>
          <t>A 39095-2022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46231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HYPERLINK("https://klasma.github.io/Logging_1864/artfynd/A 39095-2022 artfynd.xlsx", "A 39095-2022")</f>
        <v/>
      </c>
      <c r="X31">
        <f>HYPERLINK("https://klasma.github.io/Logging_1864/kartor/A 39095-2022 karta.png", "A 39095-2022")</f>
        <v/>
      </c>
      <c r="Y31">
        <f>HYPERLINK("https://klasma.github.io/Logging_1864/kartor_geotiff/A 39095-2022 georefererad karta.tif", "A 39095-2022")</f>
        <v/>
      </c>
      <c r="AA31">
        <f>HYPERLINK("https://klasma.github.io/Logging_1864/klagomål/A 39095-2022 FSC-klagomål.docx", "A 39095-2022")</f>
        <v/>
      </c>
      <c r="AB31">
        <f>HYPERLINK("https://klasma.github.io/Logging_1864/klagomålsmail/A 39095-2022 FSC-klagomål mail.docx", "A 39095-2022")</f>
        <v/>
      </c>
      <c r="AC31">
        <f>HYPERLINK("https://klasma.github.io/Logging_1864/tillsyn/A 39095-2022 tillsynsbegäran.docx", "A 39095-2022")</f>
        <v/>
      </c>
      <c r="AD31">
        <f>HYPERLINK("https://klasma.github.io/Logging_1864/tillsynsmail/A 39095-2022 tillsynsbegäran mail.docx", "A 39095-2022")</f>
        <v/>
      </c>
    </row>
    <row r="32" ht="15" customHeight="1">
      <c r="A32" t="inlineStr">
        <is>
          <t>A 45537-2024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45578</v>
      </c>
      <c r="E32" s="1" t="n">
        <v>46231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4.3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HYPERLINK("https://klasma.github.io/Logging_1864/artfynd/A 45537-2024 artfynd.xlsx", "A 45537-2024")</f>
        <v/>
      </c>
      <c r="X32">
        <f>HYPERLINK("https://klasma.github.io/Logging_1864/kartor/A 45537-2024 karta.png", "A 45537-2024")</f>
        <v/>
      </c>
      <c r="Y32">
        <f>HYPERLINK("https://klasma.github.io/Logging_1864/kartor_geotiff/A 45537-2024 georefererad karta.tif", "A 45537-2024")</f>
        <v/>
      </c>
      <c r="AA32">
        <f>HYPERLINK("https://klasma.github.io/Logging_1864/klagomål/A 45537-2024 FSC-klagomål.docx", "A 45537-2024")</f>
        <v/>
      </c>
      <c r="AB32">
        <f>HYPERLINK("https://klasma.github.io/Logging_1864/klagomålsmail/A 45537-2024 FSC-klagomål mail.docx", "A 45537-2024")</f>
        <v/>
      </c>
      <c r="AC32">
        <f>HYPERLINK("https://klasma.github.io/Logging_1864/tillsyn/A 45537-2024 tillsynsbegäran.docx", "A 45537-2024")</f>
        <v/>
      </c>
      <c r="AD32">
        <f>HYPERLINK("https://klasma.github.io/Logging_1864/tillsynsmail/A 45537-2024 tillsynsbegäran mail.docx", "A 45537-2024")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46231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46231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46231</v>
      </c>
      <c r="F35" t="inlineStr">
        <is>
          <t>ÖREBRO LÄN</t>
        </is>
      </c>
      <c r="G35" t="inlineStr">
        <is>
          <t>LJUSNARSBERG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44441</v>
      </c>
      <c r="E36" s="1" t="n">
        <v>46231</v>
      </c>
      <c r="F36" t="inlineStr">
        <is>
          <t>ÖREBRO LÄN</t>
        </is>
      </c>
      <c r="G36" t="inlineStr">
        <is>
          <t>LJUSNARSBERG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72157-2021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44544</v>
      </c>
      <c r="E37" s="1" t="n">
        <v>46231</v>
      </c>
      <c r="F37" t="inlineStr">
        <is>
          <t>ÖREBRO LÄN</t>
        </is>
      </c>
      <c r="G37" t="inlineStr">
        <is>
          <t>LJUSNARSBERG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46231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46231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46231</v>
      </c>
      <c r="F40" t="inlineStr">
        <is>
          <t>ÖREBRO LÄN</t>
        </is>
      </c>
      <c r="G40" t="inlineStr">
        <is>
          <t>LJUSNARSBERG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44293-2021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44435</v>
      </c>
      <c r="E41" s="1" t="n">
        <v>46231</v>
      </c>
      <c r="F41" t="inlineStr">
        <is>
          <t>ÖREBRO LÄN</t>
        </is>
      </c>
      <c r="G41" t="inlineStr">
        <is>
          <t>LJUSNARSBERG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39187-2021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44412</v>
      </c>
      <c r="E42" s="1" t="n">
        <v>46231</v>
      </c>
      <c r="F42" t="inlineStr">
        <is>
          <t>ÖREBRO LÄN</t>
        </is>
      </c>
      <c r="G42" t="inlineStr">
        <is>
          <t>LJUSNARSBERG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44595</v>
      </c>
      <c r="E43" s="1" t="n">
        <v>46231</v>
      </c>
      <c r="F43" t="inlineStr">
        <is>
          <t>ÖREBRO LÄN</t>
        </is>
      </c>
      <c r="G43" t="inlineStr">
        <is>
          <t>LJUSNARSBERG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25773-2022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44733</v>
      </c>
      <c r="E44" s="1" t="n">
        <v>46231</v>
      </c>
      <c r="F44" t="inlineStr">
        <is>
          <t>ÖREBRO LÄN</t>
        </is>
      </c>
      <c r="G44" t="inlineStr">
        <is>
          <t>LJUSNARSBERG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46231</v>
      </c>
      <c r="F45" t="inlineStr">
        <is>
          <t>ÖREBRO LÄN</t>
        </is>
      </c>
      <c r="G45" t="inlineStr">
        <is>
          <t>LJUSNARSBERG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44690</v>
      </c>
      <c r="E46" s="1" t="n">
        <v>46231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46231</v>
      </c>
      <c r="F47" t="inlineStr">
        <is>
          <t>ÖREBRO LÄN</t>
        </is>
      </c>
      <c r="G47" t="inlineStr">
        <is>
          <t>LJUSNARSBERG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44282-2021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44435</v>
      </c>
      <c r="E48" s="1" t="n">
        <v>46231</v>
      </c>
      <c r="F48" t="inlineStr">
        <is>
          <t>ÖREBRO LÄN</t>
        </is>
      </c>
      <c r="G48" t="inlineStr">
        <is>
          <t>LJUSNARSBERG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46231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44778</v>
      </c>
      <c r="E50" s="1" t="n">
        <v>46231</v>
      </c>
      <c r="F50" t="inlineStr">
        <is>
          <t>ÖREBRO LÄN</t>
        </is>
      </c>
      <c r="G50" t="inlineStr">
        <is>
          <t>LJUSNARSBERG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46231</v>
      </c>
      <c r="F51" t="inlineStr">
        <is>
          <t>ÖREBRO LÄN</t>
        </is>
      </c>
      <c r="G51" t="inlineStr">
        <is>
          <t>LJUSNARSBERG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44858</v>
      </c>
      <c r="E52" s="1" t="n">
        <v>46231</v>
      </c>
      <c r="F52" t="inlineStr">
        <is>
          <t>ÖREBRO LÄN</t>
        </is>
      </c>
      <c r="G52" t="inlineStr">
        <is>
          <t>LJUSNARSBERG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13803-2024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46231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18975-2025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45764</v>
      </c>
      <c r="E54" s="1" t="n">
        <v>46231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46231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45574</v>
      </c>
      <c r="E56" s="1" t="n">
        <v>46231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46231</v>
      </c>
      <c r="F57" t="inlineStr">
        <is>
          <t>ÖREBRO LÄN</t>
        </is>
      </c>
      <c r="G57" t="inlineStr">
        <is>
          <t>LJUSNARSBERG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46231</v>
      </c>
      <c r="F58" t="inlineStr">
        <is>
          <t>ÖREBRO LÄN</t>
        </is>
      </c>
      <c r="G58" t="inlineStr">
        <is>
          <t>LJUSNARSBERG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46231</v>
      </c>
      <c r="F59" t="inlineStr">
        <is>
          <t>ÖREBRO LÄN</t>
        </is>
      </c>
      <c r="G59" t="inlineStr">
        <is>
          <t>LJUSNARSBERG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45347</v>
      </c>
      <c r="E60" s="1" t="n">
        <v>46231</v>
      </c>
      <c r="F60" t="inlineStr">
        <is>
          <t>ÖREBRO LÄN</t>
        </is>
      </c>
      <c r="G60" t="inlineStr">
        <is>
          <t>LJUSNARSBERG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45124</v>
      </c>
      <c r="E61" s="1" t="n">
        <v>46231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45124</v>
      </c>
      <c r="E62" s="1" t="n">
        <v>46231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53789-2022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46231</v>
      </c>
      <c r="F63" t="inlineStr">
        <is>
          <t>ÖREBRO LÄN</t>
        </is>
      </c>
      <c r="G63" t="inlineStr">
        <is>
          <t>LJUSNARSBERG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26469-2025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45807</v>
      </c>
      <c r="E64" s="1" t="n">
        <v>46231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46231</v>
      </c>
      <c r="F65" t="inlineStr">
        <is>
          <t>ÖREBRO LÄN</t>
        </is>
      </c>
      <c r="G65" t="inlineStr">
        <is>
          <t>LJUSNARSBERG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20673-2025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45776</v>
      </c>
      <c r="E66" s="1" t="n">
        <v>46231</v>
      </c>
      <c r="F66" t="inlineStr">
        <is>
          <t>ÖREBRO LÄN</t>
        </is>
      </c>
      <c r="G66" t="inlineStr">
        <is>
          <t>LJUSNARSBERG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59497-2024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45638</v>
      </c>
      <c r="E67" s="1" t="n">
        <v>46231</v>
      </c>
      <c r="F67" t="inlineStr">
        <is>
          <t>ÖREBRO LÄN</t>
        </is>
      </c>
      <c r="G67" t="inlineStr">
        <is>
          <t>LJUSNARSBERG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22887-2024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45448</v>
      </c>
      <c r="E68" s="1" t="n">
        <v>46231</v>
      </c>
      <c r="F68" t="inlineStr">
        <is>
          <t>ÖREBRO LÄN</t>
        </is>
      </c>
      <c r="G68" t="inlineStr">
        <is>
          <t>LJUSNARSBERG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46049</v>
      </c>
      <c r="E69" s="1" t="n">
        <v>46231</v>
      </c>
      <c r="F69" t="inlineStr">
        <is>
          <t>ÖREBRO LÄN</t>
        </is>
      </c>
      <c r="G69" t="inlineStr">
        <is>
          <t>LJUSNARSBERG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12482-2023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44999</v>
      </c>
      <c r="E70" s="1" t="n">
        <v>46231</v>
      </c>
      <c r="F70" t="inlineStr">
        <is>
          <t>ÖREBRO LÄN</t>
        </is>
      </c>
      <c r="G70" t="inlineStr">
        <is>
          <t>LJUSNARSBERG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37148-2023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45155</v>
      </c>
      <c r="E71" s="1" t="n">
        <v>46231</v>
      </c>
      <c r="F71" t="inlineStr">
        <is>
          <t>ÖREBRO LÄN</t>
        </is>
      </c>
      <c r="G71" t="inlineStr">
        <is>
          <t>LJUSNARSBERG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30002-2025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45826</v>
      </c>
      <c r="E72" s="1" t="n">
        <v>46231</v>
      </c>
      <c r="F72" t="inlineStr">
        <is>
          <t>ÖREBRO LÄN</t>
        </is>
      </c>
      <c r="G72" t="inlineStr">
        <is>
          <t>LJUSNARSBERG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29572-2025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46231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30430-2025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45827</v>
      </c>
      <c r="E74" s="1" t="n">
        <v>46231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46231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30935-2025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45832</v>
      </c>
      <c r="E76" s="1" t="n">
        <v>46231</v>
      </c>
      <c r="F76" t="inlineStr">
        <is>
          <t>ÖREBRO LÄN</t>
        </is>
      </c>
      <c r="G76" t="inlineStr">
        <is>
          <t>LJUSNARSBERG</t>
        </is>
      </c>
      <c r="H76" t="inlineStr">
        <is>
          <t>Sveaskog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59630-2024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45638</v>
      </c>
      <c r="E77" s="1" t="n">
        <v>46231</v>
      </c>
      <c r="F77" t="inlineStr">
        <is>
          <t>ÖREBRO LÄN</t>
        </is>
      </c>
      <c r="G77" t="inlineStr">
        <is>
          <t>LJUSNARSBERG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45538-2024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45578</v>
      </c>
      <c r="E78" s="1" t="n">
        <v>46231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44760-2024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45574</v>
      </c>
      <c r="E79" s="1" t="n">
        <v>46231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45832</v>
      </c>
      <c r="E80" s="1" t="n">
        <v>46231</v>
      </c>
      <c r="F80" t="inlineStr">
        <is>
          <t>ÖREBRO LÄN</t>
        </is>
      </c>
      <c r="G80" t="inlineStr">
        <is>
          <t>LJUSNARSBERG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46231</v>
      </c>
      <c r="F81" t="inlineStr">
        <is>
          <t>ÖREBRO LÄN</t>
        </is>
      </c>
      <c r="G81" t="inlineStr">
        <is>
          <t>LJUSNARSBERG</t>
        </is>
      </c>
      <c r="H81" t="inlineStr">
        <is>
          <t>Kyrkan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45575</v>
      </c>
      <c r="E82" s="1" t="n">
        <v>46231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46231</v>
      </c>
      <c r="F83" t="inlineStr">
        <is>
          <t>ÖREBRO LÄN</t>
        </is>
      </c>
      <c r="G83" t="inlineStr">
        <is>
          <t>LJUSNARSBERG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46231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46231</v>
      </c>
      <c r="F85" t="inlineStr">
        <is>
          <t>ÖREBRO LÄN</t>
        </is>
      </c>
      <c r="G85" t="inlineStr">
        <is>
          <t>LJUSNARSBERG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45659</v>
      </c>
      <c r="E86" s="1" t="n">
        <v>46231</v>
      </c>
      <c r="F86" t="inlineStr">
        <is>
          <t>ÖREBRO LÄN</t>
        </is>
      </c>
      <c r="G86" t="inlineStr">
        <is>
          <t>LJUSNARSBERG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25574-2023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45089</v>
      </c>
      <c r="E87" s="1" t="n">
        <v>46231</v>
      </c>
      <c r="F87" t="inlineStr">
        <is>
          <t>ÖREBRO LÄN</t>
        </is>
      </c>
      <c r="G87" t="inlineStr">
        <is>
          <t>LJUSNARSBERG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46231</v>
      </c>
      <c r="F88" t="inlineStr">
        <is>
          <t>ÖREBRO LÄN</t>
        </is>
      </c>
      <c r="G88" t="inlineStr">
        <is>
          <t>LJUSNARSBERG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24921-2023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45085</v>
      </c>
      <c r="E89" s="1" t="n">
        <v>46231</v>
      </c>
      <c r="F89" t="inlineStr">
        <is>
          <t>ÖREBRO LÄN</t>
        </is>
      </c>
      <c r="G89" t="inlineStr">
        <is>
          <t>LJUSNARSBERG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45825</v>
      </c>
      <c r="E90" s="1" t="n">
        <v>46231</v>
      </c>
      <c r="F90" t="inlineStr">
        <is>
          <t>ÖREBRO LÄN</t>
        </is>
      </c>
      <c r="G90" t="inlineStr">
        <is>
          <t>LJUSNARSBERG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18938-2022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46231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46231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46231</v>
      </c>
      <c r="F93" t="inlineStr">
        <is>
          <t>ÖREBRO LÄN</t>
        </is>
      </c>
      <c r="G93" t="inlineStr">
        <is>
          <t>LJUSNARSBERG</t>
        </is>
      </c>
      <c r="H93" t="inlineStr">
        <is>
          <t>Sveaskog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46231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46231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8.699999999999999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46231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46231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40933-2025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46231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46231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41420-2025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46231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46231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26617-2022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46231</v>
      </c>
      <c r="F102" t="inlineStr">
        <is>
          <t>ÖREBRO LÄN</t>
        </is>
      </c>
      <c r="G102" t="inlineStr">
        <is>
          <t>LJUSNARSBERG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46231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42287-2025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45903</v>
      </c>
      <c r="E104" s="1" t="n">
        <v>46231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46231</v>
      </c>
      <c r="F105" t="inlineStr">
        <is>
          <t>ÖREBRO LÄN</t>
        </is>
      </c>
      <c r="G105" t="inlineStr">
        <is>
          <t>LJUSNARSBERG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44720</v>
      </c>
      <c r="E106" s="1" t="n">
        <v>46231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17933-2024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46231</v>
      </c>
      <c r="F107" t="inlineStr">
        <is>
          <t>ÖREBRO LÄN</t>
        </is>
      </c>
      <c r="G107" t="inlineStr">
        <is>
          <t>LJUSNARSBERG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44720</v>
      </c>
      <c r="E108" s="1" t="n">
        <v>46231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46231</v>
      </c>
      <c r="F109" t="inlineStr">
        <is>
          <t>ÖREBRO LÄN</t>
        </is>
      </c>
      <c r="G109" t="inlineStr">
        <is>
          <t>LJUSNARSBERG</t>
        </is>
      </c>
      <c r="I109" t="n">
        <v>17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26165-2022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44734</v>
      </c>
      <c r="E110" s="1" t="n">
        <v>46231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19738-2026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46231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19936-2026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46136</v>
      </c>
      <c r="E112" s="1" t="n">
        <v>46231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44479-2025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45916</v>
      </c>
      <c r="E113" s="1" t="n">
        <v>46231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19937-2026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46136</v>
      </c>
      <c r="E114" s="1" t="n">
        <v>46231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40864-2025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46231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27343-2025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45812</v>
      </c>
      <c r="E116" s="1" t="n">
        <v>46231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44565</v>
      </c>
      <c r="E117" s="1" t="n">
        <v>46231</v>
      </c>
      <c r="F117" t="inlineStr">
        <is>
          <t>ÖREBRO LÄN</t>
        </is>
      </c>
      <c r="G117" t="inlineStr">
        <is>
          <t>LJUSNARSBERG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46231</v>
      </c>
      <c r="F118" t="inlineStr">
        <is>
          <t>ÖREBRO LÄN</t>
        </is>
      </c>
      <c r="G118" t="inlineStr">
        <is>
          <t>LJUSNARSBERG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45533</v>
      </c>
      <c r="E119" s="1" t="n">
        <v>46231</v>
      </c>
      <c r="F119" t="inlineStr">
        <is>
          <t>ÖREBRO LÄN</t>
        </is>
      </c>
      <c r="G119" t="inlineStr">
        <is>
          <t>LJUSNARSBERG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46231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46231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46231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46231</v>
      </c>
      <c r="F123" t="inlineStr">
        <is>
          <t>ÖREBRO LÄN</t>
        </is>
      </c>
      <c r="G123" t="inlineStr">
        <is>
          <t>LJUSNARSBERG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45901</v>
      </c>
      <c r="E124" s="1" t="n">
        <v>46231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46263-2021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44442</v>
      </c>
      <c r="E125" s="1" t="n">
        <v>46231</v>
      </c>
      <c r="F125" t="inlineStr">
        <is>
          <t>ÖREBRO LÄN</t>
        </is>
      </c>
      <c r="G125" t="inlineStr">
        <is>
          <t>LJUSNARSBERG</t>
        </is>
      </c>
      <c r="I125" t="n">
        <v>8.699999999999999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46231</v>
      </c>
      <c r="F126" t="inlineStr">
        <is>
          <t>ÖREBRO LÄN</t>
        </is>
      </c>
      <c r="G126" t="inlineStr">
        <is>
          <t>LJUSNARSBERG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46231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44788-2021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46231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46231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21186-2026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46146</v>
      </c>
      <c r="E130" s="1" t="n">
        <v>46231</v>
      </c>
      <c r="F130" t="inlineStr">
        <is>
          <t>ÖREBRO LÄN</t>
        </is>
      </c>
      <c r="G130" t="inlineStr">
        <is>
          <t>LJUSNARSBERG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46231</v>
      </c>
      <c r="F131" t="inlineStr">
        <is>
          <t>ÖREBRO LÄN</t>
        </is>
      </c>
      <c r="G131" t="inlineStr">
        <is>
          <t>LJUSNARSBERG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46231</v>
      </c>
      <c r="F132" t="inlineStr">
        <is>
          <t>ÖREBRO LÄN</t>
        </is>
      </c>
      <c r="G132" t="inlineStr">
        <is>
          <t>LJUSNARSBERG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45934</v>
      </c>
      <c r="E133" s="1" t="n">
        <v>46231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45934</v>
      </c>
      <c r="E134" s="1" t="n">
        <v>46231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46231</v>
      </c>
      <c r="F135" t="inlineStr">
        <is>
          <t>ÖREBRO LÄN</t>
        </is>
      </c>
      <c r="G135" t="inlineStr">
        <is>
          <t>LJUSNARSBERG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45394</v>
      </c>
      <c r="E136" s="1" t="n">
        <v>46231</v>
      </c>
      <c r="F136" t="inlineStr">
        <is>
          <t>ÖREBRO LÄN</t>
        </is>
      </c>
      <c r="G136" t="inlineStr">
        <is>
          <t>LJUSNARSBERG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45934</v>
      </c>
      <c r="E137" s="1" t="n">
        <v>46231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45936</v>
      </c>
      <c r="E138" s="1" t="n">
        <v>46231</v>
      </c>
      <c r="F138" t="inlineStr">
        <is>
          <t>ÖREBRO LÄN</t>
        </is>
      </c>
      <c r="G138" t="inlineStr">
        <is>
          <t>LJUSNARSBERG</t>
        </is>
      </c>
      <c r="H138" t="inlineStr">
        <is>
          <t>Sveaskog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46231</v>
      </c>
      <c r="F139" t="inlineStr">
        <is>
          <t>ÖREBRO LÄN</t>
        </is>
      </c>
      <c r="G139" t="inlineStr">
        <is>
          <t>LJUSNARSBERG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46231</v>
      </c>
      <c r="F140" t="inlineStr">
        <is>
          <t>ÖREBRO LÄN</t>
        </is>
      </c>
      <c r="G140" t="inlineStr">
        <is>
          <t>LJUSNARSBERG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47017-2025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46231</v>
      </c>
      <c r="F141" t="inlineStr">
        <is>
          <t>ÖREBRO LÄN</t>
        </is>
      </c>
      <c r="G141" t="inlineStr">
        <is>
          <t>LJUSNARSBERG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45934</v>
      </c>
      <c r="E142" s="1" t="n">
        <v>46231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22366-2026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46231</v>
      </c>
      <c r="F143" t="inlineStr">
        <is>
          <t>ÖREBRO LÄN</t>
        </is>
      </c>
      <c r="G143" t="inlineStr">
        <is>
          <t>LJUSNARSBERG</t>
        </is>
      </c>
      <c r="I143" t="n">
        <v>14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46231</v>
      </c>
      <c r="F144" t="inlineStr">
        <is>
          <t>ÖREBRO LÄN</t>
        </is>
      </c>
      <c r="G144" t="inlineStr">
        <is>
          <t>LJUSNARSBERG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53595-2024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46231</v>
      </c>
      <c r="F145" t="inlineStr">
        <is>
          <t>ÖREBRO LÄN</t>
        </is>
      </c>
      <c r="G145" t="inlineStr">
        <is>
          <t>LJUSNARSBERG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67746-2021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44524</v>
      </c>
      <c r="E146" s="1" t="n">
        <v>46231</v>
      </c>
      <c r="F146" t="inlineStr">
        <is>
          <t>ÖREBRO LÄN</t>
        </is>
      </c>
      <c r="G146" t="inlineStr">
        <is>
          <t>LJUSNARSBERG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46231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50865-2025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45946</v>
      </c>
      <c r="E148" s="1" t="n">
        <v>46231</v>
      </c>
      <c r="F148" t="inlineStr">
        <is>
          <t>ÖREBRO LÄN</t>
        </is>
      </c>
      <c r="G148" t="inlineStr">
        <is>
          <t>LJUSNARSBERG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45581</v>
      </c>
      <c r="E149" s="1" t="n">
        <v>46231</v>
      </c>
      <c r="F149" t="inlineStr">
        <is>
          <t>ÖREBRO LÄN</t>
        </is>
      </c>
      <c r="G149" t="inlineStr">
        <is>
          <t>LJUSNARSBERG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46231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45951</v>
      </c>
      <c r="E151" s="1" t="n">
        <v>46231</v>
      </c>
      <c r="F151" t="inlineStr">
        <is>
          <t>ÖREBRO LÄN</t>
        </is>
      </c>
      <c r="G151" t="inlineStr">
        <is>
          <t>LJUSNARSBERG</t>
        </is>
      </c>
      <c r="I151" t="n">
        <v>10.8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46231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45463</v>
      </c>
      <c r="E153" s="1" t="n">
        <v>46231</v>
      </c>
      <c r="F153" t="inlineStr">
        <is>
          <t>ÖREBRO LÄN</t>
        </is>
      </c>
      <c r="G153" t="inlineStr">
        <is>
          <t>LJUSNARSBERG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46231</v>
      </c>
      <c r="F154" t="inlineStr">
        <is>
          <t>ÖREBRO LÄN</t>
        </is>
      </c>
      <c r="G154" t="inlineStr">
        <is>
          <t>LJUSNARSBERG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46231</v>
      </c>
      <c r="F155" t="inlineStr">
        <is>
          <t>ÖREBRO LÄN</t>
        </is>
      </c>
      <c r="G155" t="inlineStr">
        <is>
          <t>LJUSNARSBERG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46231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46231</v>
      </c>
      <c r="F157" t="inlineStr">
        <is>
          <t>ÖREBRO LÄN</t>
        </is>
      </c>
      <c r="G157" t="inlineStr">
        <is>
          <t>LJUSNARSBERG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46167</v>
      </c>
      <c r="E158" s="1" t="n">
        <v>46231</v>
      </c>
      <c r="F158" t="inlineStr">
        <is>
          <t>ÖREBRO LÄN</t>
        </is>
      </c>
      <c r="G158" t="inlineStr">
        <is>
          <t>LJUSNARSBERG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45217</v>
      </c>
      <c r="E159" s="1" t="n">
        <v>46231</v>
      </c>
      <c r="F159" t="inlineStr">
        <is>
          <t>ÖREBRO LÄN</t>
        </is>
      </c>
      <c r="G159" t="inlineStr">
        <is>
          <t>LJUSNARSBERG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46231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31295-2023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45103</v>
      </c>
      <c r="E161" s="1" t="n">
        <v>46231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52366-2024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45608</v>
      </c>
      <c r="E162" s="1" t="n">
        <v>46231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44694</v>
      </c>
      <c r="E163" s="1" t="n">
        <v>46231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45124</v>
      </c>
      <c r="E164" s="1" t="n">
        <v>46231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45980</v>
      </c>
      <c r="E165" s="1" t="n">
        <v>46231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46231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26379-2026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46183</v>
      </c>
      <c r="E167" s="1" t="n">
        <v>46231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26847-2026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46231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45239</v>
      </c>
      <c r="E169" s="1" t="n">
        <v>46231</v>
      </c>
      <c r="F169" t="inlineStr">
        <is>
          <t>ÖREBRO LÄN</t>
        </is>
      </c>
      <c r="G169" t="inlineStr">
        <is>
          <t>LJUSNARSBERG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44790</v>
      </c>
      <c r="E170" s="1" t="n">
        <v>46231</v>
      </c>
      <c r="F170" t="inlineStr">
        <is>
          <t>ÖREBRO LÄN</t>
        </is>
      </c>
      <c r="G170" t="inlineStr">
        <is>
          <t>LJUSNARSBERG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45155</v>
      </c>
      <c r="E171" s="1" t="n">
        <v>46231</v>
      </c>
      <c r="F171" t="inlineStr">
        <is>
          <t>ÖREBRO LÄN</t>
        </is>
      </c>
      <c r="G171" t="inlineStr">
        <is>
          <t>LJUSNARSBERG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57129-2021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44482</v>
      </c>
      <c r="E172" s="1" t="n">
        <v>46231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46231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44999</v>
      </c>
      <c r="E174" s="1" t="n">
        <v>46231</v>
      </c>
      <c r="F174" t="inlineStr">
        <is>
          <t>ÖREBRO LÄN</t>
        </is>
      </c>
      <c r="G174" t="inlineStr">
        <is>
          <t>LJUSNARSBERG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15114-2024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45399</v>
      </c>
      <c r="E175" s="1" t="n">
        <v>46231</v>
      </c>
      <c r="F175" t="inlineStr">
        <is>
          <t>ÖREBRO LÄN</t>
        </is>
      </c>
      <c r="G175" t="inlineStr">
        <is>
          <t>LJUSNARSBERG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44847</v>
      </c>
      <c r="E176" s="1" t="n">
        <v>46231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44607</v>
      </c>
      <c r="E177" s="1" t="n">
        <v>46231</v>
      </c>
      <c r="F177" t="inlineStr">
        <is>
          <t>ÖREBRO LÄN</t>
        </is>
      </c>
      <c r="G177" t="inlineStr">
        <is>
          <t>LJUSNARSBERG</t>
        </is>
      </c>
      <c r="H177" t="inlineStr">
        <is>
          <t>Kyrkan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62843-2021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44503</v>
      </c>
      <c r="E178" s="1" t="n">
        <v>46231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45177</v>
      </c>
      <c r="E179" s="1" t="n">
        <v>46231</v>
      </c>
      <c r="F179" t="inlineStr">
        <is>
          <t>ÖREBRO LÄN</t>
        </is>
      </c>
      <c r="G179" t="inlineStr">
        <is>
          <t>LJUSNARSBERG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46231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45265</v>
      </c>
      <c r="E181" s="1" t="n">
        <v>46231</v>
      </c>
      <c r="F181" t="inlineStr">
        <is>
          <t>ÖREBRO LÄN</t>
        </is>
      </c>
      <c r="G181" t="inlineStr">
        <is>
          <t>LJUSNARSBERG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46231</v>
      </c>
      <c r="F182" t="inlineStr">
        <is>
          <t>ÖREBRO LÄN</t>
        </is>
      </c>
      <c r="G182" t="inlineStr">
        <is>
          <t>LJUSNARSBERG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45035</v>
      </c>
      <c r="E183" s="1" t="n">
        <v>46231</v>
      </c>
      <c r="F183" t="inlineStr">
        <is>
          <t>ÖREBRO LÄN</t>
        </is>
      </c>
      <c r="G183" t="inlineStr">
        <is>
          <t>LJUSNARSBERG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46231</v>
      </c>
      <c r="F184" t="inlineStr">
        <is>
          <t>ÖREBRO LÄN</t>
        </is>
      </c>
      <c r="G184" t="inlineStr">
        <is>
          <t>LJUSNARSBERG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44916</v>
      </c>
      <c r="E185" s="1" t="n">
        <v>46231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16613-2023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45030</v>
      </c>
      <c r="E186" s="1" t="n">
        <v>46231</v>
      </c>
      <c r="F186" t="inlineStr">
        <is>
          <t>ÖREBRO LÄN</t>
        </is>
      </c>
      <c r="G186" t="inlineStr">
        <is>
          <t>LJUSNARSBERG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45578</v>
      </c>
      <c r="E187" s="1" t="n">
        <v>46231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45106</v>
      </c>
      <c r="E188" s="1" t="n">
        <v>46231</v>
      </c>
      <c r="F188" t="inlineStr">
        <is>
          <t>ÖREBRO LÄN</t>
        </is>
      </c>
      <c r="G188" t="inlineStr">
        <is>
          <t>LJUSNARSBERG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46231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18932-2022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44690</v>
      </c>
      <c r="E190" s="1" t="n">
        <v>46231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59495-2024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45638</v>
      </c>
      <c r="E191" s="1" t="n">
        <v>46231</v>
      </c>
      <c r="F191" t="inlineStr">
        <is>
          <t>ÖREBRO LÄN</t>
        </is>
      </c>
      <c r="G191" t="inlineStr">
        <is>
          <t>LJUSNARSBERG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62810-2021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44503</v>
      </c>
      <c r="E192" s="1" t="n">
        <v>46231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46231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45478</v>
      </c>
      <c r="E194" s="1" t="n">
        <v>46231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45387</v>
      </c>
      <c r="E195" s="1" t="n">
        <v>46231</v>
      </c>
      <c r="F195" t="inlineStr">
        <is>
          <t>ÖREBRO LÄN</t>
        </is>
      </c>
      <c r="G195" t="inlineStr">
        <is>
          <t>LJUSNARSBERG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45698</v>
      </c>
      <c r="E196" s="1" t="n">
        <v>46231</v>
      </c>
      <c r="F196" t="inlineStr">
        <is>
          <t>ÖREBRO LÄN</t>
        </is>
      </c>
      <c r="G196" t="inlineStr">
        <is>
          <t>LJUSNARSBERG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45593</v>
      </c>
      <c r="E197" s="1" t="n">
        <v>46231</v>
      </c>
      <c r="F197" t="inlineStr">
        <is>
          <t>ÖREBRO LÄN</t>
        </is>
      </c>
      <c r="G197" t="inlineStr">
        <is>
          <t>LJUSNARSBERG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46231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46231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44956</v>
      </c>
      <c r="E200" s="1" t="n">
        <v>46231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45106</v>
      </c>
      <c r="E201" s="1" t="n">
        <v>46231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45797</v>
      </c>
      <c r="E202" s="1" t="n">
        <v>46231</v>
      </c>
      <c r="F202" t="inlineStr">
        <is>
          <t>ÖREBRO LÄN</t>
        </is>
      </c>
      <c r="G202" t="inlineStr">
        <is>
          <t>LJUSNARSBERG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3541-2022</t>
        </is>
      </c>
      <c r="B203" t="inlineStr">
        <is>
          <t>samrådsanmälan</t>
        </is>
      </c>
      <c r="C203" t="inlineStr">
        <is>
          <t>Skogsbilväg</t>
        </is>
      </c>
      <c r="D203" s="1" t="n">
        <v>44734</v>
      </c>
      <c r="E203" s="1" t="n">
        <v>46231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10473-2021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44559</v>
      </c>
      <c r="E204" s="1" t="n">
        <v>46231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410-2022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44585</v>
      </c>
      <c r="E205" s="1" t="n">
        <v>46231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1099-2022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44615</v>
      </c>
      <c r="E206" s="1" t="n">
        <v>46231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147.4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880-2024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45376</v>
      </c>
      <c r="E207" s="1" t="n">
        <v>46231</v>
      </c>
      <c r="F207" t="inlineStr">
        <is>
          <t>ÖREBRO LÄN</t>
        </is>
      </c>
      <c r="G207" t="inlineStr">
        <is>
          <t>LJUSNARSBERG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3528-2023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45205</v>
      </c>
      <c r="E208" s="1" t="n">
        <v>46231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39.4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7278-2021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44467</v>
      </c>
      <c r="E209" s="1" t="n">
        <v>46231</v>
      </c>
      <c r="F209" t="inlineStr">
        <is>
          <t>ÖREBRO LÄN</t>
        </is>
      </c>
      <c r="G209" t="inlineStr">
        <is>
          <t>LJUSNARSBERG</t>
        </is>
      </c>
      <c r="H209" t="inlineStr">
        <is>
          <t>Kommuner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4521-2023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45275</v>
      </c>
      <c r="E210" s="1" t="n">
        <v>46231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7277-2021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44467</v>
      </c>
      <c r="E211" s="1" t="n">
        <v>46231</v>
      </c>
      <c r="F211" t="inlineStr">
        <is>
          <t>ÖREBRO LÄN</t>
        </is>
      </c>
      <c r="G211" t="inlineStr">
        <is>
          <t>LJUSNARSBERG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2836-2023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45167</v>
      </c>
      <c r="E212" s="1" t="n">
        <v>46231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707-2025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45720</v>
      </c>
      <c r="E213" s="1" t="n">
        <v>46231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162.6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1972-2025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45832</v>
      </c>
      <c r="E214" s="1" t="n">
        <v>46231</v>
      </c>
      <c r="F214" t="inlineStr">
        <is>
          <t>ÖREBRO LÄN</t>
        </is>
      </c>
      <c r="G214" t="inlineStr">
        <is>
          <t>LJUSNARSBERG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3578-2025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46010</v>
      </c>
      <c r="E215" s="1" t="n">
        <v>46231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603-2026</t>
        </is>
      </c>
      <c r="B216" t="inlineStr">
        <is>
          <t>samrådsanmälan</t>
        </is>
      </c>
      <c r="C216" t="inlineStr">
        <is>
          <t>Skogsgödsling</t>
        </is>
      </c>
      <c r="D216" s="1" t="n">
        <v>46085</v>
      </c>
      <c r="E216" s="1" t="n">
        <v>46231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125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1624-2026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46174</v>
      </c>
      <c r="E217" s="1" t="n">
        <v>46231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1743-2026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46185</v>
      </c>
      <c r="E218" s="1" t="n">
        <v>46231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2026-07-28T01:47:30Z</dcterms:created>
  <dcterms:modified xmlns:dcterms="http://purl.org/dc/terms/" xmlns:xsi="http://www.w3.org/2001/XMLSchema-instance" xsi:type="dcterms:W3CDTF">2026-07-28T01:47:30Z</dcterms:modified>
</cp:coreProperties>
</file>