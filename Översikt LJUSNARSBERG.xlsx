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46254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46254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46254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46254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46254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46254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46254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46254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46254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46254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46254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24299-2026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46254</v>
      </c>
      <c r="F13" t="inlineStr">
        <is>
          <t>ÖREBRO LÄN</t>
        </is>
      </c>
      <c r="G13" t="inlineStr">
        <is>
          <t>LJUSNARSBERG</t>
        </is>
      </c>
      <c r="I13" t="n">
        <v>10.8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Tornseglare
Talltita
Spillkråka
Tofsmes</t>
        </is>
      </c>
      <c r="W13">
        <f>HYPERLINK("https://klasma.github.io/Logging_1864/artfynd/A 24299-2026 artfynd.xlsx", "A 24299-2026")</f>
        <v/>
      </c>
      <c r="X13">
        <f>HYPERLINK("https://klasma.github.io/Logging_1864/kartor/A 24299-2026 karta.png", "A 24299-2026")</f>
        <v/>
      </c>
      <c r="Y13">
        <f>HYPERLINK("https://klasma.github.io/Logging_1864/kartor_geotiff/A 24299-2026 georefererad karta.tif", "A 24299-2026")</f>
        <v/>
      </c>
      <c r="AA13">
        <f>HYPERLINK("https://klasma.github.io/Logging_1864/klagomål/A 24299-2026 FSC-klagomål.docx", "A 24299-2026")</f>
        <v/>
      </c>
      <c r="AB13">
        <f>HYPERLINK("https://klasma.github.io/Logging_1864/klagomålsmail/A 24299-2026 FSC-klagomål mail.docx", "A 24299-2026")</f>
        <v/>
      </c>
      <c r="AC13">
        <f>HYPERLINK("https://klasma.github.io/Logging_1864/tillsyn/A 24299-2026 tillsynsbegäran.docx", "A 24299-2026")</f>
        <v/>
      </c>
      <c r="AD13">
        <f>HYPERLINK("https://klasma.github.io/Logging_1864/tillsynsmail/A 24299-2026 tillsynsbegäran mail.docx", "A 24299-2026")</f>
        <v/>
      </c>
      <c r="AE13">
        <f>HYPERLINK("https://klasma.github.io/Logging_1864/fåglar/A 24299-2026 prioriterade fågelarter.docx", "A 24299-2026")</f>
        <v/>
      </c>
    </row>
    <row r="14" ht="15" customHeight="1">
      <c r="A14" t="inlineStr">
        <is>
          <t>A 57978-2025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46254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1.5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7</v>
      </c>
      <c r="U14" t="n">
        <v>0</v>
      </c>
      <c r="V14" s="2" t="inlineStr">
        <is>
          <t>Tvåblad
Brudsporre
Grönvit nattviol
Nattviol</t>
        </is>
      </c>
      <c r="W14">
        <f>HYPERLINK("https://klasma.github.io/Logging_1864/artfynd/A 57978-2025 artfynd.xlsx", "A 57978-2025")</f>
        <v/>
      </c>
      <c r="X14">
        <f>HYPERLINK("https://klasma.github.io/Logging_1864/kartor/A 57978-2025 karta.png", "A 57978-2025")</f>
        <v/>
      </c>
      <c r="Y14">
        <f>HYPERLINK("https://klasma.github.io/Logging_1864/kartor_geotiff/A 57978-2025 georefererad karta.tif", "A 57978-2025")</f>
        <v/>
      </c>
      <c r="AA14">
        <f>HYPERLINK("https://klasma.github.io/Logging_1864/klagomål/A 57978-2025 FSC-klagomål.docx", "A 57978-2025")</f>
        <v/>
      </c>
      <c r="AB14">
        <f>HYPERLINK("https://klasma.github.io/Logging_1864/klagomålsmail/A 57978-2025 FSC-klagomål mail.docx", "A 57978-2025")</f>
        <v/>
      </c>
      <c r="AC14">
        <f>HYPERLINK("https://klasma.github.io/Logging_1864/tillsyn/A 57978-2025 tillsynsbegäran.docx", "A 57978-2025")</f>
        <v/>
      </c>
      <c r="AD14">
        <f>HYPERLINK("https://klasma.github.io/Logging_1864/tillsynsmail/A 57978-2025 tillsynsbegäran mail.docx", "A 57978-2025")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46254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46254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46254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46254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46254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46254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62105-2022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44920</v>
      </c>
      <c r="E21" s="1" t="n">
        <v>46254</v>
      </c>
      <c r="F21" t="inlineStr">
        <is>
          <t>ÖREBRO LÄN</t>
        </is>
      </c>
      <c r="G21" t="inlineStr">
        <is>
          <t>LJUSNARSBERG</t>
        </is>
      </c>
      <c r="I21" t="n">
        <v>5.7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7</v>
      </c>
      <c r="V21" s="2" t="inlineStr">
        <is>
          <t>Spillkråka
Kungsfågel</t>
        </is>
      </c>
      <c r="W21">
        <f>HYPERLINK("https://klasma.github.io/Logging_1864/artfynd/A 62105-2022 artfynd.xlsx", "A 62105-2022")</f>
        <v/>
      </c>
      <c r="X21">
        <f>HYPERLINK("https://klasma.github.io/Logging_1864/kartor/A 62105-2022 karta.png", "A 62105-2022")</f>
        <v/>
      </c>
      <c r="Y21">
        <f>HYPERLINK("https://klasma.github.io/Logging_1864/kartor_geotiff/A 62105-2022 georefererad karta.tif", "A 62105-2022")</f>
        <v/>
      </c>
      <c r="AA21">
        <f>HYPERLINK("https://klasma.github.io/Logging_1864/klagomål/A 62105-2022 FSC-klagomål.docx", "A 62105-2022")</f>
        <v/>
      </c>
      <c r="AB21">
        <f>HYPERLINK("https://klasma.github.io/Logging_1864/klagomålsmail/A 62105-2022 FSC-klagomål mail.docx", "A 62105-2022")</f>
        <v/>
      </c>
      <c r="AC21">
        <f>HYPERLINK("https://klasma.github.io/Logging_1864/tillsyn/A 62105-2022 tillsynsbegäran.docx", "A 62105-2022")</f>
        <v/>
      </c>
      <c r="AD21">
        <f>HYPERLINK("https://klasma.github.io/Logging_1864/tillsynsmail/A 62105-2022 tillsynsbegäran mail.docx", "A 62105-2022")</f>
        <v/>
      </c>
      <c r="AE21">
        <f>HYPERLINK("https://klasma.github.io/Logging_1864/fåglar/A 62105-2022 prioriterade fågelarter.docx", "A 62105-2022")</f>
        <v/>
      </c>
    </row>
    <row r="22" ht="15" customHeight="1">
      <c r="A22" t="inlineStr">
        <is>
          <t>A 45536-2024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46254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5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Tvåblad
Fläcknycklar</t>
        </is>
      </c>
      <c r="W22">
        <f>HYPERLINK("https://klasma.github.io/Logging_1864/artfynd/A 45536-2024 artfynd.xlsx", "A 45536-2024")</f>
        <v/>
      </c>
      <c r="X22">
        <f>HYPERLINK("https://klasma.github.io/Logging_1864/kartor/A 45536-2024 karta.png", "A 45536-2024")</f>
        <v/>
      </c>
      <c r="Y22">
        <f>HYPERLINK("https://klasma.github.io/Logging_1864/kartor_geotiff/A 45536-2024 georefererad karta.tif", "A 45536-2024")</f>
        <v/>
      </c>
      <c r="AA22">
        <f>HYPERLINK("https://klasma.github.io/Logging_1864/klagomål/A 45536-2024 FSC-klagomål.docx", "A 45536-2024")</f>
        <v/>
      </c>
      <c r="AB22">
        <f>HYPERLINK("https://klasma.github.io/Logging_1864/klagomålsmail/A 45536-2024 FSC-klagomål mail.docx", "A 45536-2024")</f>
        <v/>
      </c>
      <c r="AC22">
        <f>HYPERLINK("https://klasma.github.io/Logging_1864/tillsyn/A 45536-2024 tillsynsbegäran.docx", "A 45536-2024")</f>
        <v/>
      </c>
      <c r="AD22">
        <f>HYPERLINK("https://klasma.github.io/Logging_1864/tillsynsmail/A 45536-2024 tillsynsbegäran mail.docx", "A 45536-2024")</f>
        <v/>
      </c>
    </row>
    <row r="23" ht="15" customHeight="1">
      <c r="A23" t="inlineStr">
        <is>
          <t>A 19940-2026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46136</v>
      </c>
      <c r="E23" s="1" t="n">
        <v>46254</v>
      </c>
      <c r="F23" t="inlineStr">
        <is>
          <t>ÖREBRO LÄN</t>
        </is>
      </c>
      <c r="G23" t="inlineStr">
        <is>
          <t>LJUSNARSBERG</t>
        </is>
      </c>
      <c r="H23" t="inlineStr">
        <is>
          <t>Sveaskog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HYPERLINK("https://klasma.github.io/Logging_1864/artfynd/A 19940-2026 artfynd.xlsx", "A 19940-2026")</f>
        <v/>
      </c>
      <c r="X23">
        <f>HYPERLINK("https://klasma.github.io/Logging_1864/kartor/A 19940-2026 karta.png", "A 19940-2026")</f>
        <v/>
      </c>
      <c r="Y23">
        <f>HYPERLINK("https://klasma.github.io/Logging_1864/kartor_geotiff/A 19940-2026 georefererad karta.tif", "A 19940-2026")</f>
        <v/>
      </c>
      <c r="AA23">
        <f>HYPERLINK("https://klasma.github.io/Logging_1864/klagomål/A 19940-2026 FSC-klagomål.docx", "A 19940-2026")</f>
        <v/>
      </c>
      <c r="AB23">
        <f>HYPERLINK("https://klasma.github.io/Logging_1864/klagomålsmail/A 19940-2026 FSC-klagomål mail.docx", "A 19940-2026")</f>
        <v/>
      </c>
      <c r="AC23">
        <f>HYPERLINK("https://klasma.github.io/Logging_1864/tillsyn/A 19940-2026 tillsynsbegäran.docx", "A 19940-2026")</f>
        <v/>
      </c>
      <c r="AD23">
        <f>HYPERLINK("https://klasma.github.io/Logging_1864/tillsynsmail/A 19940-2026 tillsynsbegäran mail.docx", "A 19940-2026")</f>
        <v/>
      </c>
    </row>
    <row r="24" ht="15" customHeight="1">
      <c r="A24" t="inlineStr">
        <is>
          <t>A 39514-2025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46254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Nattviol</t>
        </is>
      </c>
      <c r="W24">
        <f>HYPERLINK("https://klasma.github.io/Logging_1864/artfynd/A 39514-2025 artfynd.xlsx", "A 39514-2025")</f>
        <v/>
      </c>
      <c r="X24">
        <f>HYPERLINK("https://klasma.github.io/Logging_1864/kartor/A 39514-2025 karta.png", "A 39514-2025")</f>
        <v/>
      </c>
      <c r="Y24">
        <f>HYPERLINK("https://klasma.github.io/Logging_1864/kartor_geotiff/A 39514-2025 georefererad karta.tif", "A 39514-2025")</f>
        <v/>
      </c>
      <c r="AA24">
        <f>HYPERLINK("https://klasma.github.io/Logging_1864/klagomål/A 39514-2025 FSC-klagomål.docx", "A 39514-2025")</f>
        <v/>
      </c>
      <c r="AB24">
        <f>HYPERLINK("https://klasma.github.io/Logging_1864/klagomålsmail/A 39514-2025 FSC-klagomål mail.docx", "A 39514-2025")</f>
        <v/>
      </c>
      <c r="AC24">
        <f>HYPERLINK("https://klasma.github.io/Logging_1864/tillsyn/A 39514-2025 tillsynsbegäran.docx", "A 39514-2025")</f>
        <v/>
      </c>
      <c r="AD24">
        <f>HYPERLINK("https://klasma.github.io/Logging_1864/tillsynsmail/A 39514-2025 tillsynsbegäran mail.docx", "A 39514-2025")</f>
        <v/>
      </c>
    </row>
    <row r="25" ht="15" customHeight="1">
      <c r="A25" t="inlineStr">
        <is>
          <t>A 18857-2026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46254</v>
      </c>
      <c r="F25" t="inlineStr">
        <is>
          <t>ÖREBRO LÄN</t>
        </is>
      </c>
      <c r="G25" t="inlineStr">
        <is>
          <t>LJUSNARSBERG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Trana</t>
        </is>
      </c>
      <c r="W25">
        <f>HYPERLINK("https://klasma.github.io/Logging_1864/artfynd/A 18857-2026 artfynd.xlsx", "A 18857-2026")</f>
        <v/>
      </c>
      <c r="X25">
        <f>HYPERLINK("https://klasma.github.io/Logging_1864/kartor/A 18857-2026 karta.png", "A 18857-2026")</f>
        <v/>
      </c>
      <c r="Y25">
        <f>HYPERLINK("https://klasma.github.io/Logging_1864/kartor_geotiff/A 18857-2026 georefererad karta.tif", "A 18857-2026")</f>
        <v/>
      </c>
      <c r="AA25">
        <f>HYPERLINK("https://klasma.github.io/Logging_1864/klagomål/A 18857-2026 FSC-klagomål.docx", "A 18857-2026")</f>
        <v/>
      </c>
      <c r="AB25">
        <f>HYPERLINK("https://klasma.github.io/Logging_1864/klagomålsmail/A 18857-2026 FSC-klagomål mail.docx", "A 18857-2026")</f>
        <v/>
      </c>
      <c r="AC25">
        <f>HYPERLINK("https://klasma.github.io/Logging_1864/tillsyn/A 18857-2026 tillsynsbegäran.docx", "A 18857-2026")</f>
        <v/>
      </c>
      <c r="AD25">
        <f>HYPERLINK("https://klasma.github.io/Logging_1864/tillsynsmail/A 18857-2026 tillsynsbegäran mail.docx", "A 18857-2026")</f>
        <v/>
      </c>
      <c r="AE25">
        <f>HYPERLINK("https://klasma.github.io/Logging_1864/fåglar/A 18857-2026 prioriterade fågelarter.docx", "A 18857-2026")</f>
        <v/>
      </c>
    </row>
    <row r="26" ht="15" customHeight="1">
      <c r="A26" t="inlineStr">
        <is>
          <t>A 24348-2026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46254</v>
      </c>
      <c r="F26" t="inlineStr">
        <is>
          <t>ÖREBRO LÄN</t>
        </is>
      </c>
      <c r="G26" t="inlineStr">
        <is>
          <t>LJUSNARSBERG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HYPERLINK("https://klasma.github.io/Logging_1864/artfynd/A 24348-2026 artfynd.xlsx", "A 24348-2026")</f>
        <v/>
      </c>
      <c r="X26">
        <f>HYPERLINK("https://klasma.github.io/Logging_1864/kartor/A 24348-2026 karta.png", "A 24348-2026")</f>
        <v/>
      </c>
      <c r="Y26">
        <f>HYPERLINK("https://klasma.github.io/Logging_1864/kartor_geotiff/A 24348-2026 georefererad karta.tif", "A 24348-2026")</f>
        <v/>
      </c>
      <c r="AA26">
        <f>HYPERLINK("https://klasma.github.io/Logging_1864/klagomål/A 24348-2026 FSC-klagomål.docx", "A 24348-2026")</f>
        <v/>
      </c>
      <c r="AB26">
        <f>HYPERLINK("https://klasma.github.io/Logging_1864/klagomålsmail/A 24348-2026 FSC-klagomål mail.docx", "A 24348-2026")</f>
        <v/>
      </c>
      <c r="AC26">
        <f>HYPERLINK("https://klasma.github.io/Logging_1864/tillsyn/A 24348-2026 tillsynsbegäran.docx", "A 24348-2026")</f>
        <v/>
      </c>
      <c r="AD26">
        <f>HYPERLINK("https://klasma.github.io/Logging_1864/tillsynsmail/A 24348-2026 tillsynsbegäran mail.docx", "A 24348-2026")</f>
        <v/>
      </c>
      <c r="AE26">
        <f>HYPERLINK("https://klasma.github.io/Logging_1864/fåglar/A 24348-2026 prioriterade fågelarter.docx", "A 24348-2026")</f>
        <v/>
      </c>
    </row>
    <row r="27" ht="15" customHeight="1">
      <c r="A27" t="inlineStr">
        <is>
          <t>A 45537-2024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45578</v>
      </c>
      <c r="E27" s="1" t="n">
        <v>46254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HYPERLINK("https://klasma.github.io/Logging_1864/artfynd/A 45537-2024 artfynd.xlsx", "A 45537-2024")</f>
        <v/>
      </c>
      <c r="X27">
        <f>HYPERLINK("https://klasma.github.io/Logging_1864/kartor/A 45537-2024 karta.png", "A 45537-2024")</f>
        <v/>
      </c>
      <c r="Y27">
        <f>HYPERLINK("https://klasma.github.io/Logging_1864/kartor_geotiff/A 45537-2024 georefererad karta.tif", "A 45537-2024")</f>
        <v/>
      </c>
      <c r="AA27">
        <f>HYPERLINK("https://klasma.github.io/Logging_1864/klagomål/A 45537-2024 FSC-klagomål.docx", "A 45537-2024")</f>
        <v/>
      </c>
      <c r="AB27">
        <f>HYPERLINK("https://klasma.github.io/Logging_1864/klagomålsmail/A 45537-2024 FSC-klagomål mail.docx", "A 45537-2024")</f>
        <v/>
      </c>
      <c r="AC27">
        <f>HYPERLINK("https://klasma.github.io/Logging_1864/tillsyn/A 45537-2024 tillsynsbegäran.docx", "A 45537-2024")</f>
        <v/>
      </c>
      <c r="AD27">
        <f>HYPERLINK("https://klasma.github.io/Logging_1864/tillsynsmail/A 45537-2024 tillsynsbegäran mail.docx", "A 45537-2024")</f>
        <v/>
      </c>
    </row>
    <row r="28" ht="15" customHeight="1">
      <c r="A28" t="inlineStr">
        <is>
          <t>A 24791-2024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45460</v>
      </c>
      <c r="E28" s="1" t="n">
        <v>46254</v>
      </c>
      <c r="F28" t="inlineStr">
        <is>
          <t>ÖREBRO LÄN</t>
        </is>
      </c>
      <c r="G28" t="inlineStr">
        <is>
          <t>LJUSNARSBERG</t>
        </is>
      </c>
      <c r="I28" t="n">
        <v>3.9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3</v>
      </c>
      <c r="U28" t="n">
        <v>3</v>
      </c>
      <c r="V28" s="2" t="inlineStr">
        <is>
          <t>Spillkråka</t>
        </is>
      </c>
      <c r="W28">
        <f>HYPERLINK("https://klasma.github.io/Logging_1864/artfynd/A 24791-2024 artfynd.xlsx", "A 24791-2024")</f>
        <v/>
      </c>
      <c r="X28">
        <f>HYPERLINK("https://klasma.github.io/Logging_1864/kartor/A 24791-2024 karta.png", "A 24791-2024")</f>
        <v/>
      </c>
      <c r="Y28">
        <f>HYPERLINK("https://klasma.github.io/Logging_1864/kartor_geotiff/A 24791-2024 georefererad karta.tif", "A 24791-2024")</f>
        <v/>
      </c>
      <c r="AA28">
        <f>HYPERLINK("https://klasma.github.io/Logging_1864/klagomål/A 24791-2024 FSC-klagomål.docx", "A 24791-2024")</f>
        <v/>
      </c>
      <c r="AB28">
        <f>HYPERLINK("https://klasma.github.io/Logging_1864/klagomålsmail/A 24791-2024 FSC-klagomål mail.docx", "A 24791-2024")</f>
        <v/>
      </c>
      <c r="AC28">
        <f>HYPERLINK("https://klasma.github.io/Logging_1864/tillsyn/A 24791-2024 tillsynsbegäran.docx", "A 24791-2024")</f>
        <v/>
      </c>
      <c r="AD28">
        <f>HYPERLINK("https://klasma.github.io/Logging_1864/tillsynsmail/A 24791-2024 tillsynsbegäran mail.docx", "A 24791-2024")</f>
        <v/>
      </c>
      <c r="AE28">
        <f>HYPERLINK("https://klasma.github.io/Logging_1864/fåglar/A 24791-2024 prioriterade fågelarter.docx", "A 24791-2024")</f>
        <v/>
      </c>
    </row>
    <row r="29" ht="15" customHeight="1">
      <c r="A29" t="inlineStr">
        <is>
          <t>A 56859-2025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45975</v>
      </c>
      <c r="E29" s="1" t="n">
        <v>46254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Större vattensalamander</t>
        </is>
      </c>
      <c r="W29">
        <f>HYPERLINK("https://klasma.github.io/Logging_1864/artfynd/A 56859-2025 artfynd.xlsx", "A 56859-2025")</f>
        <v/>
      </c>
      <c r="X29">
        <f>HYPERLINK("https://klasma.github.io/Logging_1864/kartor/A 56859-2025 karta.png", "A 56859-2025")</f>
        <v/>
      </c>
      <c r="Y29">
        <f>HYPERLINK("https://klasma.github.io/Logging_1864/kartor_geotiff/A 56859-2025 georefererad karta.tif", "A 56859-2025")</f>
        <v/>
      </c>
      <c r="AA29">
        <f>HYPERLINK("https://klasma.github.io/Logging_1864/klagomål/A 56859-2025 FSC-klagomål.docx", "A 56859-2025")</f>
        <v/>
      </c>
      <c r="AB29">
        <f>HYPERLINK("https://klasma.github.io/Logging_1864/klagomålsmail/A 56859-2025 FSC-klagomål mail.docx", "A 56859-2025")</f>
        <v/>
      </c>
      <c r="AC29">
        <f>HYPERLINK("https://klasma.github.io/Logging_1864/tillsyn/A 56859-2025 tillsynsbegäran.docx", "A 56859-2025")</f>
        <v/>
      </c>
      <c r="AD29">
        <f>HYPERLINK("https://klasma.github.io/Logging_1864/tillsynsmail/A 56859-2025 tillsynsbegäran mail.docx", "A 56859-2025")</f>
        <v/>
      </c>
    </row>
    <row r="30" ht="15" customHeight="1">
      <c r="A30" t="inlineStr">
        <is>
          <t>A 20797-2022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46254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HYPERLINK("https://klasma.github.io/Logging_1864/artfynd/A 20797-2022 artfynd.xlsx", "A 20797-2022")</f>
        <v/>
      </c>
      <c r="X30">
        <f>HYPERLINK("https://klasma.github.io/Logging_1864/kartor/A 20797-2022 karta.png", "A 20797-2022")</f>
        <v/>
      </c>
      <c r="Y30">
        <f>HYPERLINK("https://klasma.github.io/Logging_1864/kartor_geotiff/A 20797-2022 georefererad karta.tif", "A 20797-2022")</f>
        <v/>
      </c>
      <c r="AA30">
        <f>HYPERLINK("https://klasma.github.io/Logging_1864/klagomål/A 20797-2022 FSC-klagomål.docx", "A 20797-2022")</f>
        <v/>
      </c>
      <c r="AB30">
        <f>HYPERLINK("https://klasma.github.io/Logging_1864/klagomålsmail/A 20797-2022 FSC-klagomål mail.docx", "A 20797-2022")</f>
        <v/>
      </c>
      <c r="AC30">
        <f>HYPERLINK("https://klasma.github.io/Logging_1864/tillsyn/A 20797-2022 tillsynsbegäran.docx", "A 20797-2022")</f>
        <v/>
      </c>
      <c r="AD30">
        <f>HYPERLINK("https://klasma.github.io/Logging_1864/tillsynsmail/A 20797-2022 tillsynsbegäran mail.docx", "A 20797-2022")</f>
        <v/>
      </c>
    </row>
    <row r="31" ht="15" customHeight="1">
      <c r="A31" t="inlineStr">
        <is>
          <t>A 39095-2022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46254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HYPERLINK("https://klasma.github.io/Logging_1864/artfynd/A 39095-2022 artfynd.xlsx", "A 39095-2022")</f>
        <v/>
      </c>
      <c r="X31">
        <f>HYPERLINK("https://klasma.github.io/Logging_1864/kartor/A 39095-2022 karta.png", "A 39095-2022")</f>
        <v/>
      </c>
      <c r="Y31">
        <f>HYPERLINK("https://klasma.github.io/Logging_1864/kartor_geotiff/A 39095-2022 georefererad karta.tif", "A 39095-2022")</f>
        <v/>
      </c>
      <c r="AA31">
        <f>HYPERLINK("https://klasma.github.io/Logging_1864/klagomål/A 39095-2022 FSC-klagomål.docx", "A 39095-2022")</f>
        <v/>
      </c>
      <c r="AB31">
        <f>HYPERLINK("https://klasma.github.io/Logging_1864/klagomålsmail/A 39095-2022 FSC-klagomål mail.docx", "A 39095-2022")</f>
        <v/>
      </c>
      <c r="AC31">
        <f>HYPERLINK("https://klasma.github.io/Logging_1864/tillsyn/A 39095-2022 tillsynsbegäran.docx", "A 39095-2022")</f>
        <v/>
      </c>
      <c r="AD31">
        <f>HYPERLINK("https://klasma.github.io/Logging_1864/tillsynsmail/A 39095-2022 tillsynsbegäran mail.docx", "A 39095-2022")</f>
        <v/>
      </c>
    </row>
    <row r="32" ht="15" customHeight="1">
      <c r="A32" t="inlineStr">
        <is>
          <t>S 3758-2024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45555</v>
      </c>
      <c r="E32" s="1" t="n">
        <v>46254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Bårdlav</t>
        </is>
      </c>
      <c r="W32">
        <f>HYPERLINK("https://klasma.github.io/Logging_1864/artfynd/S 3758-2024 artfynd.xlsx", "S 3758-2024")</f>
        <v/>
      </c>
      <c r="X32">
        <f>HYPERLINK("https://klasma.github.io/Logging_1864/kartor/S 3758-2024 karta.png", "S 3758-2024")</f>
        <v/>
      </c>
      <c r="Y32">
        <f>HYPERLINK("https://klasma.github.io/Logging_1864/kartor_geotiff/S 3758-2024 georefererad karta.tif", "S 3758-2024")</f>
        <v/>
      </c>
      <c r="AA32">
        <f>HYPERLINK("https://klasma.github.io/Logging_1864/klagomål/S 3758-2024 FSC-klagomål.docx", "S 3758-2024")</f>
        <v/>
      </c>
      <c r="AB32">
        <f>HYPERLINK("https://klasma.github.io/Logging_1864/klagomålsmail/S 3758-2024 FSC-klagomål mail.docx", "S 3758-2024")</f>
        <v/>
      </c>
      <c r="AC32">
        <f>HYPERLINK("https://klasma.github.io/Logging_1864/tillsyn/S 3758-2024 tillsynsbegäran.docx", "S 3758-2024")</f>
        <v/>
      </c>
      <c r="AD32">
        <f>HYPERLINK("https://klasma.github.io/Logging_1864/tillsynsmail/S 3758-2024 tillsynsbegäran mail.docx", "S 3758-2024")</f>
        <v/>
      </c>
    </row>
    <row r="33" ht="15" customHeight="1">
      <c r="A33" t="inlineStr">
        <is>
          <t>A 64400-2021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46254</v>
      </c>
      <c r="F33" t="inlineStr">
        <is>
          <t>ÖREBRO LÄN</t>
        </is>
      </c>
      <c r="G33" t="inlineStr">
        <is>
          <t>LJUSNARSBERG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44858-2021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44438</v>
      </c>
      <c r="E34" s="1" t="n">
        <v>46254</v>
      </c>
      <c r="F34" t="inlineStr">
        <is>
          <t>ÖREBRO LÄN</t>
        </is>
      </c>
      <c r="G34" t="inlineStr">
        <is>
          <t>LJUSNARSBERG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46254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46254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44513</v>
      </c>
      <c r="E37" s="1" t="n">
        <v>46254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46254</v>
      </c>
      <c r="F38" t="inlineStr">
        <is>
          <t>ÖREBRO LÄN</t>
        </is>
      </c>
      <c r="G38" t="inlineStr">
        <is>
          <t>LJUSNARSBERG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44293-2021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44435</v>
      </c>
      <c r="E39" s="1" t="n">
        <v>46254</v>
      </c>
      <c r="F39" t="inlineStr">
        <is>
          <t>ÖREBRO LÄN</t>
        </is>
      </c>
      <c r="G39" t="inlineStr">
        <is>
          <t>LJUSNARSBERG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44595</v>
      </c>
      <c r="E40" s="1" t="n">
        <v>46254</v>
      </c>
      <c r="F40" t="inlineStr">
        <is>
          <t>ÖREBRO LÄN</t>
        </is>
      </c>
      <c r="G40" t="inlineStr">
        <is>
          <t>LJUSNARSBERG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25773-2022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46254</v>
      </c>
      <c r="F41" t="inlineStr">
        <is>
          <t>ÖREBRO LÄN</t>
        </is>
      </c>
      <c r="G41" t="inlineStr">
        <is>
          <t>LJUSNARSBERG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46254</v>
      </c>
      <c r="F42" t="inlineStr">
        <is>
          <t>ÖREBRO LÄN</t>
        </is>
      </c>
      <c r="G42" t="inlineStr">
        <is>
          <t>LJUSNARSBERG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46254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46254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44282-2021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44435</v>
      </c>
      <c r="E45" s="1" t="n">
        <v>46254</v>
      </c>
      <c r="F45" t="inlineStr">
        <is>
          <t>ÖREBRO LÄN</t>
        </is>
      </c>
      <c r="G45" t="inlineStr">
        <is>
          <t>LJUSNARSBERG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31998-2022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46254</v>
      </c>
      <c r="F46" t="inlineStr">
        <is>
          <t>ÖREBRO LÄN</t>
        </is>
      </c>
      <c r="G46" t="inlineStr">
        <is>
          <t>LJUSNARSBERG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33858-2022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46254</v>
      </c>
      <c r="F47" t="inlineStr">
        <is>
          <t>ÖREBRO LÄN</t>
        </is>
      </c>
      <c r="G47" t="inlineStr">
        <is>
          <t>LJUSNARSBERG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46254</v>
      </c>
      <c r="F48" t="inlineStr">
        <is>
          <t>ÖREBRO LÄN</t>
        </is>
      </c>
      <c r="G48" t="inlineStr">
        <is>
          <t>LJUSNARSBERG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61794-2024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45649</v>
      </c>
      <c r="E49" s="1" t="n">
        <v>46254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25574-2023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45089</v>
      </c>
      <c r="E50" s="1" t="n">
        <v>46254</v>
      </c>
      <c r="F50" t="inlineStr">
        <is>
          <t>ÖREBRO LÄN</t>
        </is>
      </c>
      <c r="G50" t="inlineStr">
        <is>
          <t>LJUSNARSBERG</t>
        </is>
      </c>
      <c r="H50" t="inlineStr">
        <is>
          <t>Sveaskog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46254</v>
      </c>
      <c r="F51" t="inlineStr">
        <is>
          <t>ÖREBRO LÄN</t>
        </is>
      </c>
      <c r="G51" t="inlineStr">
        <is>
          <t>LJUSNARSBERG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46254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46263-2021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44442</v>
      </c>
      <c r="E53" s="1" t="n">
        <v>46254</v>
      </c>
      <c r="F53" t="inlineStr">
        <is>
          <t>ÖREBRO LÄN</t>
        </is>
      </c>
      <c r="G53" t="inlineStr">
        <is>
          <t>LJUSNARSBERG</t>
        </is>
      </c>
      <c r="I53" t="n">
        <v>8.699999999999999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45583</v>
      </c>
      <c r="E54" s="1" t="n">
        <v>46254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61580-2023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45265</v>
      </c>
      <c r="E55" s="1" t="n">
        <v>46254</v>
      </c>
      <c r="F55" t="inlineStr">
        <is>
          <t>ÖREBRO LÄN</t>
        </is>
      </c>
      <c r="G55" t="inlineStr">
        <is>
          <t>LJUSNARSBERG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46254</v>
      </c>
      <c r="F56" t="inlineStr">
        <is>
          <t>ÖREBRO LÄN</t>
        </is>
      </c>
      <c r="G56" t="inlineStr">
        <is>
          <t>LJUSNARSBERG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46254</v>
      </c>
      <c r="F57" t="inlineStr">
        <is>
          <t>ÖREBRO LÄN</t>
        </is>
      </c>
      <c r="G57" t="inlineStr">
        <is>
          <t>LJUSNARSBERG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62843-2021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46254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15114-2024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45399</v>
      </c>
      <c r="E59" s="1" t="n">
        <v>46254</v>
      </c>
      <c r="F59" t="inlineStr">
        <is>
          <t>ÖREBRO LÄN</t>
        </is>
      </c>
      <c r="G59" t="inlineStr">
        <is>
          <t>LJUSNARSBERG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44734</v>
      </c>
      <c r="E60" s="1" t="n">
        <v>46254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12489-2023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44999</v>
      </c>
      <c r="E61" s="1" t="n">
        <v>46254</v>
      </c>
      <c r="F61" t="inlineStr">
        <is>
          <t>ÖREBRO LÄN</t>
        </is>
      </c>
      <c r="G61" t="inlineStr">
        <is>
          <t>LJUSNARSBERG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17933-2024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46254</v>
      </c>
      <c r="F62" t="inlineStr">
        <is>
          <t>ÖREBRO LÄN</t>
        </is>
      </c>
      <c r="G62" t="inlineStr">
        <is>
          <t>LJUSNARSBERG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44524</v>
      </c>
      <c r="E63" s="1" t="n">
        <v>46254</v>
      </c>
      <c r="F63" t="inlineStr">
        <is>
          <t>ÖREBRO LÄN</t>
        </is>
      </c>
      <c r="G63" t="inlineStr">
        <is>
          <t>LJUSNARSBERG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46254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45638</v>
      </c>
      <c r="E65" s="1" t="n">
        <v>46254</v>
      </c>
      <c r="F65" t="inlineStr">
        <is>
          <t>ÖREBRO LÄN</t>
        </is>
      </c>
      <c r="G65" t="inlineStr">
        <is>
          <t>LJUSNARSBERG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44780-2024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45574</v>
      </c>
      <c r="E66" s="1" t="n">
        <v>46254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45463</v>
      </c>
      <c r="E67" s="1" t="n">
        <v>46254</v>
      </c>
      <c r="F67" t="inlineStr">
        <is>
          <t>ÖREBRO LÄN</t>
        </is>
      </c>
      <c r="G67" t="inlineStr">
        <is>
          <t>LJUSNARSBERG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37148-2023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46254</v>
      </c>
      <c r="F68" t="inlineStr">
        <is>
          <t>ÖREBRO LÄN</t>
        </is>
      </c>
      <c r="G68" t="inlineStr">
        <is>
          <t>LJUSNARSBERG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22887-2024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45448</v>
      </c>
      <c r="E69" s="1" t="n">
        <v>46254</v>
      </c>
      <c r="F69" t="inlineStr">
        <is>
          <t>ÖREBRO LÄN</t>
        </is>
      </c>
      <c r="G69" t="inlineStr">
        <is>
          <t>LJUSNARSBERG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44983-2024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45575</v>
      </c>
      <c r="E70" s="1" t="n">
        <v>46254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52366-2024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45608</v>
      </c>
      <c r="E71" s="1" t="n">
        <v>46254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46254</v>
      </c>
      <c r="F72" t="inlineStr">
        <is>
          <t>ÖREBRO LÄN</t>
        </is>
      </c>
      <c r="G72" t="inlineStr">
        <is>
          <t>LJUSNARSBERG</t>
        </is>
      </c>
      <c r="H72" t="inlineStr">
        <is>
          <t>Sveaskog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45145</v>
      </c>
      <c r="E73" s="1" t="n">
        <v>46254</v>
      </c>
      <c r="F73" t="inlineStr">
        <is>
          <t>ÖREBRO LÄN</t>
        </is>
      </c>
      <c r="G73" t="inlineStr">
        <is>
          <t>LJUSNARSBERG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23346-2022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44720</v>
      </c>
      <c r="E74" s="1" t="n">
        <v>46254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25098-2023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46254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57129-2021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46254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17.8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46254</v>
      </c>
      <c r="F77" t="inlineStr">
        <is>
          <t>ÖREBRO LÄN</t>
        </is>
      </c>
      <c r="G77" t="inlineStr">
        <is>
          <t>LJUSNARSBERG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46254</v>
      </c>
      <c r="F78" t="inlineStr">
        <is>
          <t>ÖREBRO LÄN</t>
        </is>
      </c>
      <c r="G78" t="inlineStr">
        <is>
          <t>LJUSNARSBERG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17276-2023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45035</v>
      </c>
      <c r="E79" s="1" t="n">
        <v>46254</v>
      </c>
      <c r="F79" t="inlineStr">
        <is>
          <t>ÖREBRO LÄN</t>
        </is>
      </c>
      <c r="G79" t="inlineStr">
        <is>
          <t>LJUSNARSBERG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24921-2023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46254</v>
      </c>
      <c r="F80" t="inlineStr">
        <is>
          <t>ÖREBRO LÄN</t>
        </is>
      </c>
      <c r="G80" t="inlineStr">
        <is>
          <t>LJUSNARSBERG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46085-2024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45581</v>
      </c>
      <c r="E81" s="1" t="n">
        <v>46254</v>
      </c>
      <c r="F81" t="inlineStr">
        <is>
          <t>ÖREBRO LÄN</t>
        </is>
      </c>
      <c r="G81" t="inlineStr">
        <is>
          <t>LJUSNARSBERG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19936-2026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46136</v>
      </c>
      <c r="E82" s="1" t="n">
        <v>46254</v>
      </c>
      <c r="F82" t="inlineStr">
        <is>
          <t>ÖREBRO LÄN</t>
        </is>
      </c>
      <c r="G82" t="inlineStr">
        <is>
          <t>LJUSNARSBERG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27343-2025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46254</v>
      </c>
      <c r="F83" t="inlineStr">
        <is>
          <t>ÖREBRO LÄN</t>
        </is>
      </c>
      <c r="G83" t="inlineStr">
        <is>
          <t>LJUSNARSBERG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40477-2025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45895</v>
      </c>
      <c r="E84" s="1" t="n">
        <v>46254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19368-2025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46254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40477-2025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45895</v>
      </c>
      <c r="E86" s="1" t="n">
        <v>46254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59630-2024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46254</v>
      </c>
      <c r="F87" t="inlineStr">
        <is>
          <t>ÖREBRO LÄN</t>
        </is>
      </c>
      <c r="G87" t="inlineStr">
        <is>
          <t>LJUSNARSBERG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46254</v>
      </c>
      <c r="F88" t="inlineStr">
        <is>
          <t>ÖREBRO LÄN</t>
        </is>
      </c>
      <c r="G88" t="inlineStr">
        <is>
          <t>LJUSNARSBERG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46254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46254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46254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46254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45825</v>
      </c>
      <c r="E93" s="1" t="n">
        <v>46254</v>
      </c>
      <c r="F93" t="inlineStr">
        <is>
          <t>ÖREBRO LÄN</t>
        </is>
      </c>
      <c r="G93" t="inlineStr">
        <is>
          <t>LJUSNARSBERG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46254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59497-2024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45638</v>
      </c>
      <c r="E95" s="1" t="n">
        <v>46254</v>
      </c>
      <c r="F95" t="inlineStr">
        <is>
          <t>ÖREBRO LÄN</t>
        </is>
      </c>
      <c r="G95" t="inlineStr">
        <is>
          <t>LJUSNARSBERG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45124</v>
      </c>
      <c r="E96" s="1" t="n">
        <v>46254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45898</v>
      </c>
      <c r="E97" s="1" t="n">
        <v>46254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46254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18.1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46146</v>
      </c>
      <c r="E99" s="1" t="n">
        <v>46254</v>
      </c>
      <c r="F99" t="inlineStr">
        <is>
          <t>ÖREBRO LÄN</t>
        </is>
      </c>
      <c r="G99" t="inlineStr">
        <is>
          <t>LJUSNARSBERG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21186-2026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46146</v>
      </c>
      <c r="E100" s="1" t="n">
        <v>46254</v>
      </c>
      <c r="F100" t="inlineStr">
        <is>
          <t>ÖREBRO LÄN</t>
        </is>
      </c>
      <c r="G100" t="inlineStr">
        <is>
          <t>LJUSNARSBERG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46254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47017-2025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46254</v>
      </c>
      <c r="F102" t="inlineStr">
        <is>
          <t>ÖREBRO LÄN</t>
        </is>
      </c>
      <c r="G102" t="inlineStr">
        <is>
          <t>LJUSNARSBERG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46154</v>
      </c>
      <c r="E103" s="1" t="n">
        <v>46254</v>
      </c>
      <c r="F103" t="inlineStr">
        <is>
          <t>ÖREBRO LÄN</t>
        </is>
      </c>
      <c r="G103" t="inlineStr">
        <is>
          <t>LJUSNARSBERG</t>
        </is>
      </c>
      <c r="I103" t="n">
        <v>14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43078-2025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45909</v>
      </c>
      <c r="E104" s="1" t="n">
        <v>46254</v>
      </c>
      <c r="F104" t="inlineStr">
        <is>
          <t>ÖREBRO LÄN</t>
        </is>
      </c>
      <c r="G104" t="inlineStr">
        <is>
          <t>LJUSNARSBERG</t>
        </is>
      </c>
      <c r="I104" t="n">
        <v>17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45839</v>
      </c>
      <c r="E105" s="1" t="n">
        <v>46254</v>
      </c>
      <c r="F105" t="inlineStr">
        <is>
          <t>ÖREBRO LÄN</t>
        </is>
      </c>
      <c r="G105" t="inlineStr">
        <is>
          <t>LJUSNARSBERG</t>
        </is>
      </c>
      <c r="H105" t="inlineStr">
        <is>
          <t>Kommuner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45614</v>
      </c>
      <c r="E106" s="1" t="n">
        <v>46254</v>
      </c>
      <c r="F106" t="inlineStr">
        <is>
          <t>ÖREBRO LÄN</t>
        </is>
      </c>
      <c r="G106" t="inlineStr">
        <is>
          <t>LJUSNARSBERG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46254</v>
      </c>
      <c r="F107" t="inlineStr">
        <is>
          <t>ÖREBRO LÄN</t>
        </is>
      </c>
      <c r="G107" t="inlineStr">
        <is>
          <t>LJUSNARSBERG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45638</v>
      </c>
      <c r="E108" s="1" t="n">
        <v>46254</v>
      </c>
      <c r="F108" t="inlineStr">
        <is>
          <t>ÖREBRO LÄN</t>
        </is>
      </c>
      <c r="G108" t="inlineStr">
        <is>
          <t>LJUSNARSBERG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46254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46254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46163</v>
      </c>
      <c r="E111" s="1" t="n">
        <v>46254</v>
      </c>
      <c r="F111" t="inlineStr">
        <is>
          <t>ÖREBRO LÄN</t>
        </is>
      </c>
      <c r="G111" t="inlineStr">
        <is>
          <t>LJUSNARSBERG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53789-2022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44880</v>
      </c>
      <c r="E112" s="1" t="n">
        <v>46254</v>
      </c>
      <c r="F112" t="inlineStr">
        <is>
          <t>ÖREBRO LÄN</t>
        </is>
      </c>
      <c r="G112" t="inlineStr">
        <is>
          <t>LJUSNARSBERG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44917</v>
      </c>
      <c r="E113" s="1" t="n">
        <v>46254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46167</v>
      </c>
      <c r="E114" s="1" t="n">
        <v>46254</v>
      </c>
      <c r="F114" t="inlineStr">
        <is>
          <t>ÖREBRO LÄN</t>
        </is>
      </c>
      <c r="G114" t="inlineStr">
        <is>
          <t>LJUSNARSBERG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46167</v>
      </c>
      <c r="E115" s="1" t="n">
        <v>46254</v>
      </c>
      <c r="F115" t="inlineStr">
        <is>
          <t>ÖREBRO LÄN</t>
        </is>
      </c>
      <c r="G115" t="inlineStr">
        <is>
          <t>LJUSNARSBERG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46167</v>
      </c>
      <c r="E116" s="1" t="n">
        <v>46254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46167</v>
      </c>
      <c r="E117" s="1" t="n">
        <v>46254</v>
      </c>
      <c r="F117" t="inlineStr">
        <is>
          <t>ÖREBRO LÄN</t>
        </is>
      </c>
      <c r="G117" t="inlineStr">
        <is>
          <t>LJUSNARSBERG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44565</v>
      </c>
      <c r="E118" s="1" t="n">
        <v>46254</v>
      </c>
      <c r="F118" t="inlineStr">
        <is>
          <t>ÖREBRO LÄN</t>
        </is>
      </c>
      <c r="G118" t="inlineStr">
        <is>
          <t>LJUSNARSBERG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46492-2025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46254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45106</v>
      </c>
      <c r="E120" s="1" t="n">
        <v>46254</v>
      </c>
      <c r="F120" t="inlineStr">
        <is>
          <t>ÖREBRO LÄN</t>
        </is>
      </c>
      <c r="G120" t="inlineStr">
        <is>
          <t>LJUSNARSBERG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46082-2024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46254</v>
      </c>
      <c r="F121" t="inlineStr">
        <is>
          <t>ÖREBRO LÄN</t>
        </is>
      </c>
      <c r="G121" t="inlineStr">
        <is>
          <t>LJUSNARSBERG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44564</v>
      </c>
      <c r="E122" s="1" t="n">
        <v>46254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41610-2025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45901</v>
      </c>
      <c r="E123" s="1" t="n">
        <v>46254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45930</v>
      </c>
      <c r="E124" s="1" t="n">
        <v>46254</v>
      </c>
      <c r="F124" t="inlineStr">
        <is>
          <t>ÖREBRO LÄN</t>
        </is>
      </c>
      <c r="G124" t="inlineStr">
        <is>
          <t>LJUSNARSBERG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48204-2025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45933</v>
      </c>
      <c r="E125" s="1" t="n">
        <v>46254</v>
      </c>
      <c r="F125" t="inlineStr">
        <is>
          <t>ÖREBRO LÄN</t>
        </is>
      </c>
      <c r="G125" t="inlineStr">
        <is>
          <t>LJUSNARSBERG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45934</v>
      </c>
      <c r="E126" s="1" t="n">
        <v>46254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45934</v>
      </c>
      <c r="E127" s="1" t="n">
        <v>46254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46254</v>
      </c>
      <c r="F128" t="inlineStr">
        <is>
          <t>ÖREBRO LÄN</t>
        </is>
      </c>
      <c r="G128" t="inlineStr">
        <is>
          <t>LJUSNARSBERG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44790</v>
      </c>
      <c r="E129" s="1" t="n">
        <v>46254</v>
      </c>
      <c r="F129" t="inlineStr">
        <is>
          <t>ÖREBRO LÄN</t>
        </is>
      </c>
      <c r="G129" t="inlineStr">
        <is>
          <t>LJUSNARSBERG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46254</v>
      </c>
      <c r="F130" t="inlineStr">
        <is>
          <t>ÖREBRO LÄN</t>
        </is>
      </c>
      <c r="G130" t="inlineStr">
        <is>
          <t>LJUSNARSBERG</t>
        </is>
      </c>
      <c r="H130" t="inlineStr">
        <is>
          <t>Sveaskog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45934</v>
      </c>
      <c r="E131" s="1" t="n">
        <v>46254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46254</v>
      </c>
      <c r="F132" t="inlineStr">
        <is>
          <t>ÖREBRO LÄN</t>
        </is>
      </c>
      <c r="G132" t="inlineStr">
        <is>
          <t>LJUSNARSBERG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46254</v>
      </c>
      <c r="F133" t="inlineStr">
        <is>
          <t>ÖREBRO LÄN</t>
        </is>
      </c>
      <c r="G133" t="inlineStr">
        <is>
          <t>LJUSNARSBERG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45934</v>
      </c>
      <c r="E134" s="1" t="n">
        <v>46254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46183</v>
      </c>
      <c r="E135" s="1" t="n">
        <v>46254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46254</v>
      </c>
      <c r="F136" t="inlineStr">
        <is>
          <t>ÖREBRO LÄN</t>
        </is>
      </c>
      <c r="G136" t="inlineStr">
        <is>
          <t>LJUSNARSBERG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26847-2026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46185</v>
      </c>
      <c r="E137" s="1" t="n">
        <v>46254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14.5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44760-2024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45574</v>
      </c>
      <c r="E138" s="1" t="n">
        <v>46254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50865-2025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45946</v>
      </c>
      <c r="E139" s="1" t="n">
        <v>46254</v>
      </c>
      <c r="F139" t="inlineStr">
        <is>
          <t>ÖREBRO LÄN</t>
        </is>
      </c>
      <c r="G139" t="inlineStr">
        <is>
          <t>LJUSNARSBERG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45951</v>
      </c>
      <c r="E140" s="1" t="n">
        <v>46254</v>
      </c>
      <c r="F140" t="inlineStr">
        <is>
          <t>ÖREBRO LÄN</t>
        </is>
      </c>
      <c r="G140" t="inlineStr">
        <is>
          <t>LJUSNARSBERG</t>
        </is>
      </c>
      <c r="I140" t="n">
        <v>10.8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44917</v>
      </c>
      <c r="E141" s="1" t="n">
        <v>46254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46254</v>
      </c>
      <c r="F142" t="inlineStr">
        <is>
          <t>ÖREBRO LÄN</t>
        </is>
      </c>
      <c r="G142" t="inlineStr">
        <is>
          <t>LJUSNARSBERG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46254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17.8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45394</v>
      </c>
      <c r="E144" s="1" t="n">
        <v>46254</v>
      </c>
      <c r="F144" t="inlineStr">
        <is>
          <t>ÖREBRO LÄN</t>
        </is>
      </c>
      <c r="G144" t="inlineStr">
        <is>
          <t>LJUSNARSBERG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46246</v>
      </c>
      <c r="E145" s="1" t="n">
        <v>46254</v>
      </c>
      <c r="F145" t="inlineStr">
        <is>
          <t>ÖREBRO LÄN</t>
        </is>
      </c>
      <c r="G145" t="inlineStr">
        <is>
          <t>LJUSNARSBERG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45239</v>
      </c>
      <c r="E146" s="1" t="n">
        <v>46254</v>
      </c>
      <c r="F146" t="inlineStr">
        <is>
          <t>ÖREBRO LÄN</t>
        </is>
      </c>
      <c r="G146" t="inlineStr">
        <is>
          <t>LJUSNARSBERG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46247</v>
      </c>
      <c r="E147" s="1" t="n">
        <v>46254</v>
      </c>
      <c r="F147" t="inlineStr">
        <is>
          <t>ÖREBRO LÄN</t>
        </is>
      </c>
      <c r="G147" t="inlineStr">
        <is>
          <t>LJUSNARSBERG</t>
        </is>
      </c>
      <c r="H147" t="inlineStr">
        <is>
          <t>Kyrkan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44690</v>
      </c>
      <c r="E148" s="1" t="n">
        <v>46254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57400-2025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45980</v>
      </c>
      <c r="E149" s="1" t="n">
        <v>46254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46254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46254</v>
      </c>
      <c r="F151" t="inlineStr">
        <is>
          <t>ÖREBRO LÄN</t>
        </is>
      </c>
      <c r="G151" t="inlineStr">
        <is>
          <t>LJUSNARSBERG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46254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45578</v>
      </c>
      <c r="E153" s="1" t="n">
        <v>46254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45578</v>
      </c>
      <c r="E154" s="1" t="n">
        <v>46254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52489-2022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44874</v>
      </c>
      <c r="E155" s="1" t="n">
        <v>46254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45124</v>
      </c>
      <c r="E156" s="1" t="n">
        <v>46254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46254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63411-2025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46254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46254</v>
      </c>
      <c r="F159" t="inlineStr">
        <is>
          <t>ÖREBRO LÄN</t>
        </is>
      </c>
      <c r="G159" t="inlineStr">
        <is>
          <t>LJUSNARSBERG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44690</v>
      </c>
      <c r="E160" s="1" t="n">
        <v>46254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44788-2021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44438</v>
      </c>
      <c r="E161" s="1" t="n">
        <v>46254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30414-2023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45111</v>
      </c>
      <c r="E162" s="1" t="n">
        <v>46254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46049</v>
      </c>
      <c r="E163" s="1" t="n">
        <v>46254</v>
      </c>
      <c r="F163" t="inlineStr">
        <is>
          <t>ÖREBRO LÄN</t>
        </is>
      </c>
      <c r="G163" t="inlineStr">
        <is>
          <t>LJUSNARSBERG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46254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45347</v>
      </c>
      <c r="E165" s="1" t="n">
        <v>46254</v>
      </c>
      <c r="F165" t="inlineStr">
        <is>
          <t>ÖREBRO LÄN</t>
        </is>
      </c>
      <c r="G165" t="inlineStr">
        <is>
          <t>LJUSNARSBERG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45030</v>
      </c>
      <c r="E166" s="1" t="n">
        <v>46254</v>
      </c>
      <c r="F166" t="inlineStr">
        <is>
          <t>ÖREBRO LÄN</t>
        </is>
      </c>
      <c r="G166" t="inlineStr">
        <is>
          <t>LJUSNARSBERG</t>
        </is>
      </c>
      <c r="H166" t="inlineStr">
        <is>
          <t>Sveaskog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46254</v>
      </c>
      <c r="F167" t="inlineStr">
        <is>
          <t>ÖREBRO LÄN</t>
        </is>
      </c>
      <c r="G167" t="inlineStr">
        <is>
          <t>LJUSNARSBERG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46254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44939</v>
      </c>
      <c r="E169" s="1" t="n">
        <v>46254</v>
      </c>
      <c r="F169" t="inlineStr">
        <is>
          <t>ÖREBRO LÄN</t>
        </is>
      </c>
      <c r="G169" t="inlineStr">
        <is>
          <t>LJUSNARSBERG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53395-2021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44468</v>
      </c>
      <c r="E170" s="1" t="n">
        <v>46254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7903-2022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44607</v>
      </c>
      <c r="E171" s="1" t="n">
        <v>46254</v>
      </c>
      <c r="F171" t="inlineStr">
        <is>
          <t>ÖREBRO LÄN</t>
        </is>
      </c>
      <c r="G171" t="inlineStr">
        <is>
          <t>LJUSNARSBERG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45177</v>
      </c>
      <c r="E172" s="1" t="n">
        <v>46254</v>
      </c>
      <c r="F172" t="inlineStr">
        <is>
          <t>ÖREBRO LÄN</t>
        </is>
      </c>
      <c r="G172" t="inlineStr">
        <is>
          <t>LJUSNARSBERG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46254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31295-2023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46254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45764</v>
      </c>
      <c r="E175" s="1" t="n">
        <v>46254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19857-2022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44694</v>
      </c>
      <c r="E176" s="1" t="n">
        <v>46254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46801-2024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46254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19738-2026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46254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45103</v>
      </c>
      <c r="E179" s="1" t="n">
        <v>46254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46254</v>
      </c>
      <c r="F180" t="inlineStr">
        <is>
          <t>ÖREBRO LÄN</t>
        </is>
      </c>
      <c r="G180" t="inlineStr">
        <is>
          <t>LJUSNARSBERG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46136</v>
      </c>
      <c r="E181" s="1" t="n">
        <v>46254</v>
      </c>
      <c r="F181" t="inlineStr">
        <is>
          <t>ÖREBRO LÄN</t>
        </is>
      </c>
      <c r="G181" t="inlineStr">
        <is>
          <t>LJUSNARSBERG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45478</v>
      </c>
      <c r="E182" s="1" t="n">
        <v>46254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36108-2024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45533</v>
      </c>
      <c r="E183" s="1" t="n">
        <v>46254</v>
      </c>
      <c r="F183" t="inlineStr">
        <is>
          <t>ÖREBRO LÄN</t>
        </is>
      </c>
      <c r="G183" t="inlineStr">
        <is>
          <t>LJUSNARSBERG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45593</v>
      </c>
      <c r="E184" s="1" t="n">
        <v>46254</v>
      </c>
      <c r="F184" t="inlineStr">
        <is>
          <t>ÖREBRO LÄN</t>
        </is>
      </c>
      <c r="G184" t="inlineStr">
        <is>
          <t>LJUSNARSBERG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45698</v>
      </c>
      <c r="E185" s="1" t="n">
        <v>46254</v>
      </c>
      <c r="F185" t="inlineStr">
        <is>
          <t>ÖREBRO LÄN</t>
        </is>
      </c>
      <c r="G185" t="inlineStr">
        <is>
          <t>LJUSNARSBERG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45387</v>
      </c>
      <c r="E186" s="1" t="n">
        <v>46254</v>
      </c>
      <c r="F186" t="inlineStr">
        <is>
          <t>ÖREBRO LÄN</t>
        </is>
      </c>
      <c r="G186" t="inlineStr">
        <is>
          <t>LJUSNARSBERG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46254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45142</v>
      </c>
      <c r="E188" s="1" t="n">
        <v>46254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44956</v>
      </c>
      <c r="E189" s="1" t="n">
        <v>46254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46254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45807</v>
      </c>
      <c r="E191" s="1" t="n">
        <v>46254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20673-2025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45776</v>
      </c>
      <c r="E192" s="1" t="n">
        <v>46254</v>
      </c>
      <c r="F192" t="inlineStr">
        <is>
          <t>ÖREBRO LÄN</t>
        </is>
      </c>
      <c r="G192" t="inlineStr">
        <is>
          <t>LJUSNARSBERG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46254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46254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46254</v>
      </c>
      <c r="F195" t="inlineStr">
        <is>
          <t>ÖREBRO LÄN</t>
        </is>
      </c>
      <c r="G195" t="inlineStr">
        <is>
          <t>LJUSNARSBERG</t>
        </is>
      </c>
      <c r="H195" t="inlineStr">
        <is>
          <t>Sveaskog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46254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33622-2025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46254</v>
      </c>
      <c r="F197" t="inlineStr">
        <is>
          <t>ÖREBRO LÄN</t>
        </is>
      </c>
      <c r="G197" t="inlineStr">
        <is>
          <t>LJUSNARSBERG</t>
        </is>
      </c>
      <c r="H197" t="inlineStr">
        <is>
          <t>Kyrkan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45659</v>
      </c>
      <c r="E198" s="1" t="n">
        <v>46254</v>
      </c>
      <c r="F198" t="inlineStr">
        <is>
          <t>ÖREBRO LÄN</t>
        </is>
      </c>
      <c r="G198" t="inlineStr">
        <is>
          <t>LJUSNARSBERG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46254</v>
      </c>
      <c r="F199" t="inlineStr">
        <is>
          <t>ÖREBRO LÄN</t>
        </is>
      </c>
      <c r="G199" t="inlineStr">
        <is>
          <t>LJUSNARSBERG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880-2024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45376</v>
      </c>
      <c r="E200" s="1" t="n">
        <v>46254</v>
      </c>
      <c r="F200" t="inlineStr">
        <is>
          <t>ÖREBRO LÄN</t>
        </is>
      </c>
      <c r="G200" t="inlineStr">
        <is>
          <t>LJUSNARSBERG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46254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46254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3528-2023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45205</v>
      </c>
      <c r="E203" s="1" t="n">
        <v>46254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7278-2021</t>
        </is>
      </c>
      <c r="B204" t="inlineStr">
        <is>
          <t>samrådsanmälan</t>
        </is>
      </c>
      <c r="C204" t="inlineStr">
        <is>
          <t>Åtgärd i nyckelbiotop</t>
        </is>
      </c>
      <c r="D204" s="1" t="n">
        <v>44467</v>
      </c>
      <c r="E204" s="1" t="n">
        <v>46254</v>
      </c>
      <c r="F204" t="inlineStr">
        <is>
          <t>ÖREBRO LÄN</t>
        </is>
      </c>
      <c r="G204" t="inlineStr">
        <is>
          <t>LJUSNARSBERG</t>
        </is>
      </c>
      <c r="H204" t="inlineStr">
        <is>
          <t>Kommuner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410-2022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44585</v>
      </c>
      <c r="E205" s="1" t="n">
        <v>46254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46254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1099-2022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44615</v>
      </c>
      <c r="E207" s="1" t="n">
        <v>46254</v>
      </c>
      <c r="F207" t="inlineStr">
        <is>
          <t>ÖREBRO LÄN</t>
        </is>
      </c>
      <c r="G207" t="inlineStr">
        <is>
          <t>LJUSNARSBERG</t>
        </is>
      </c>
      <c r="H207" t="inlineStr">
        <is>
          <t>Sveaskog</t>
        </is>
      </c>
      <c r="I207" t="n">
        <v>147.4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7277-2021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46254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2836-2023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45167</v>
      </c>
      <c r="E209" s="1" t="n">
        <v>46254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707-2025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45720</v>
      </c>
      <c r="E210" s="1" t="n">
        <v>46254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1972-2025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45832</v>
      </c>
      <c r="E211" s="1" t="n">
        <v>46254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3578-2025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46010</v>
      </c>
      <c r="E212" s="1" t="n">
        <v>46254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603-2026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46085</v>
      </c>
      <c r="E213" s="1" t="n">
        <v>46254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125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1743-2026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46185</v>
      </c>
      <c r="E214" s="1" t="n">
        <v>46254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46254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2026-08-20T01:48:12Z</dcterms:created>
  <dcterms:modified xmlns:dcterms="http://purl.org/dc/terms/" xmlns:xsi="http://www.w3.org/2001/XMLSchema-instance" xsi:type="dcterms:W3CDTF">2026-08-20T01:48:13Z</dcterms:modified>
</cp:coreProperties>
</file>