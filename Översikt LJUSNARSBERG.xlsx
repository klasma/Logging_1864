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46323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46323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46323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24352-2026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46167</v>
      </c>
      <c r="E9" s="1" t="n">
        <v>46323</v>
      </c>
      <c r="F9" t="inlineStr">
        <is>
          <t>ÖREBRO LÄN</t>
        </is>
      </c>
      <c r="G9" t="inlineStr">
        <is>
          <t>LJUSNARSBERG</t>
        </is>
      </c>
      <c r="I9" t="n">
        <v>2.9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11</v>
      </c>
      <c r="V9" s="2" t="inlineStr">
        <is>
          <t>Thomsons trägnagare
Vågbandad barkbock
Spillkråka
Tjäder
Fläcknycklar</t>
        </is>
      </c>
      <c r="W9">
        <f>HYPERLINK("https://klasma.github.io/Logging_1864/artfynd/A 24352-2026 artfynd.xlsx", "A 24352-2026")</f>
        <v/>
      </c>
      <c r="X9">
        <f>HYPERLINK("https://klasma.github.io/Logging_1864/kartor/A 24352-2026 karta.png", "A 24352-2026")</f>
        <v/>
      </c>
      <c r="Y9">
        <f>HYPERLINK("https://klasma.github.io/Logging_1864/kartor_geotiff/A 24352-2026 georefererad karta.tif", "A 24352-2026")</f>
        <v/>
      </c>
      <c r="AA9">
        <f>HYPERLINK("https://klasma.github.io/Logging_1864/klagomål/A 24352-2026 FSC-klagomål.docx", "A 24352-2026")</f>
        <v/>
      </c>
      <c r="AB9">
        <f>HYPERLINK("https://klasma.github.io/Logging_1864/klagomålsmail/A 24352-2026 FSC-klagomål mail.docx", "A 24352-2026")</f>
        <v/>
      </c>
      <c r="AC9">
        <f>HYPERLINK("https://klasma.github.io/Logging_1864/tillsyn/A 24352-2026 tillsynsbegäran.docx", "A 24352-2026")</f>
        <v/>
      </c>
      <c r="AD9">
        <f>HYPERLINK("https://klasma.github.io/Logging_1864/tillsynsmail/A 24352-2026 tillsynsbegäran mail.docx", "A 24352-2026")</f>
        <v/>
      </c>
      <c r="AE9">
        <f>HYPERLINK("https://klasma.github.io/Logging_1864/fåglar/A 24352-2026 prioriterade fågelarter.docx", "A 24352-2026")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46323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46323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46323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46323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45536-2024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45578</v>
      </c>
      <c r="E15" s="1" t="n">
        <v>46323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Tvåblad
Fläcknycklar</t>
        </is>
      </c>
      <c r="W15">
        <f>HYPERLINK("https://klasma.github.io/Logging_1864/artfynd/A 45536-2024 artfynd.xlsx", "A 45536-2024")</f>
        <v/>
      </c>
      <c r="X15">
        <f>HYPERLINK("https://klasma.github.io/Logging_1864/kartor/A 45536-2024 karta.png", "A 45536-2024")</f>
        <v/>
      </c>
      <c r="Y15">
        <f>HYPERLINK("https://klasma.github.io/Logging_1864/kartor_geotiff/A 45536-2024 georefererad karta.tif", "A 45536-2024")</f>
        <v/>
      </c>
      <c r="AA15">
        <f>HYPERLINK("https://klasma.github.io/Logging_1864/klagomål/A 45536-2024 FSC-klagomål.docx", "A 45536-2024")</f>
        <v/>
      </c>
      <c r="AB15">
        <f>HYPERLINK("https://klasma.github.io/Logging_1864/klagomålsmail/A 45536-2024 FSC-klagomål mail.docx", "A 45536-2024")</f>
        <v/>
      </c>
      <c r="AC15">
        <f>HYPERLINK("https://klasma.github.io/Logging_1864/tillsyn/A 45536-2024 tillsynsbegäran.docx", "A 45536-2024")</f>
        <v/>
      </c>
      <c r="AD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46323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46323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46323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46323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46323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20797-2022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44701</v>
      </c>
      <c r="E21" s="1" t="n">
        <v>46323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HYPERLINK("https://klasma.github.io/Logging_1864/artfynd/A 20797-2022 artfynd.xlsx", "A 20797-2022")</f>
        <v/>
      </c>
      <c r="X21">
        <f>HYPERLINK("https://klasma.github.io/Logging_1864/kartor/A 20797-2022 karta.png", "A 20797-2022")</f>
        <v/>
      </c>
      <c r="Y21">
        <f>HYPERLINK("https://klasma.github.io/Logging_1864/kartor_geotiff/A 20797-2022 georefererad karta.tif", "A 20797-2022")</f>
        <v/>
      </c>
      <c r="AA21">
        <f>HYPERLINK("https://klasma.github.io/Logging_1864/klagomål/A 20797-2022 FSC-klagomål.docx", "A 20797-2022")</f>
        <v/>
      </c>
      <c r="AB21">
        <f>HYPERLINK("https://klasma.github.io/Logging_1864/klagomålsmail/A 20797-2022 FSC-klagomål mail.docx", "A 20797-2022")</f>
        <v/>
      </c>
      <c r="AC21">
        <f>HYPERLINK("https://klasma.github.io/Logging_1864/tillsyn/A 20797-2022 tillsynsbegäran.docx", "A 20797-2022")</f>
        <v/>
      </c>
      <c r="AD21">
        <f>HYPERLINK("https://klasma.github.io/Logging_1864/tillsynsmail/A 20797-2022 tillsynsbegäran mail.docx", "A 20797-2022")</f>
        <v/>
      </c>
    </row>
    <row r="22" ht="15" customHeight="1">
      <c r="A22" t="inlineStr">
        <is>
          <t>A 45537-2024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46323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4.3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HYPERLINK("https://klasma.github.io/Logging_1864/artfynd/A 45537-2024 artfynd.xlsx", "A 45537-2024")</f>
        <v/>
      </c>
      <c r="X22">
        <f>HYPERLINK("https://klasma.github.io/Logging_1864/kartor/A 45537-2024 karta.png", "A 45537-2024")</f>
        <v/>
      </c>
      <c r="Y22">
        <f>HYPERLINK("https://klasma.github.io/Logging_1864/kartor_geotiff/A 45537-2024 georefererad karta.tif", "A 45537-2024")</f>
        <v/>
      </c>
      <c r="AA22">
        <f>HYPERLINK("https://klasma.github.io/Logging_1864/klagomål/A 45537-2024 FSC-klagomål.docx", "A 45537-2024")</f>
        <v/>
      </c>
      <c r="AB22">
        <f>HYPERLINK("https://klasma.github.io/Logging_1864/klagomålsmail/A 45537-2024 FSC-klagomål mail.docx", "A 45537-2024")</f>
        <v/>
      </c>
      <c r="AC22">
        <f>HYPERLINK("https://klasma.github.io/Logging_1864/tillsyn/A 45537-2024 tillsynsbegäran.docx", "A 45537-2024")</f>
        <v/>
      </c>
      <c r="AD22">
        <f>HYPERLINK("https://klasma.github.io/Logging_1864/tillsynsmail/A 45537-2024 tillsynsbegäran mail.docx", "A 45537-2024")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46323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46323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46323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39095-2022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44817</v>
      </c>
      <c r="E26" s="1" t="n">
        <v>46323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HYPERLINK("https://klasma.github.io/Logging_1864/artfynd/A 39095-2022 artfynd.xlsx", "A 39095-2022")</f>
        <v/>
      </c>
      <c r="X26">
        <f>HYPERLINK("https://klasma.github.io/Logging_1864/kartor/A 39095-2022 karta.png", "A 39095-2022")</f>
        <v/>
      </c>
      <c r="Y26">
        <f>HYPERLINK("https://klasma.github.io/Logging_1864/kartor_geotiff/A 39095-2022 georefererad karta.tif", "A 39095-2022")</f>
        <v/>
      </c>
      <c r="AA26">
        <f>HYPERLINK("https://klasma.github.io/Logging_1864/klagomål/A 39095-2022 FSC-klagomål.docx", "A 39095-2022")</f>
        <v/>
      </c>
      <c r="AB26">
        <f>HYPERLINK("https://klasma.github.io/Logging_1864/klagomålsmail/A 39095-2022 FSC-klagomål mail.docx", "A 39095-2022")</f>
        <v/>
      </c>
      <c r="AC26">
        <f>HYPERLINK("https://klasma.github.io/Logging_1864/tillsyn/A 39095-2022 tillsynsbegäran.docx", "A 39095-2022")</f>
        <v/>
      </c>
      <c r="AD26">
        <f>HYPERLINK("https://klasma.github.io/Logging_1864/tillsynsmail/A 39095-2022 tillsynsbegäran mail.docx", "A 39095-2022")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46323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46323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46323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46323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46323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46323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46323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46323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46323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46323</v>
      </c>
      <c r="F36" t="inlineStr">
        <is>
          <t>ÖREBRO LÄN</t>
        </is>
      </c>
      <c r="G36" t="inlineStr">
        <is>
          <t>LJUSNARSBERG</t>
        </is>
      </c>
      <c r="H36" t="inlineStr">
        <is>
          <t>Bergvik skog väst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46323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46323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44778</v>
      </c>
      <c r="E39" s="1" t="n">
        <v>46323</v>
      </c>
      <c r="F39" t="inlineStr">
        <is>
          <t>ÖREBRO LÄN</t>
        </is>
      </c>
      <c r="G39" t="inlineStr">
        <is>
          <t>LJUSNARSBERG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46323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46323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46323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46323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29436-2023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46323</v>
      </c>
      <c r="F44" t="inlineStr">
        <is>
          <t>ÖREBRO LÄN</t>
        </is>
      </c>
      <c r="G44" t="inlineStr">
        <is>
          <t>LJUSNARSBERG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46323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46323</v>
      </c>
      <c r="F46" t="inlineStr">
        <is>
          <t>ÖREBRO LÄN</t>
        </is>
      </c>
      <c r="G46" t="inlineStr">
        <is>
          <t>LJUSNARSBERG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46323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46323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46323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44720</v>
      </c>
      <c r="E50" s="1" t="n">
        <v>46323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46323</v>
      </c>
      <c r="F51" t="inlineStr">
        <is>
          <t>ÖREBRO LÄN</t>
        </is>
      </c>
      <c r="G51" t="inlineStr">
        <is>
          <t>LJUSNARSBERG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23372-2022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44720</v>
      </c>
      <c r="E52" s="1" t="n">
        <v>46323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46323</v>
      </c>
      <c r="F53" t="inlineStr">
        <is>
          <t>ÖREBRO LÄN</t>
        </is>
      </c>
      <c r="G53" t="inlineStr">
        <is>
          <t>LJUSNARSBERG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46323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45764</v>
      </c>
      <c r="E55" s="1" t="n">
        <v>46323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46323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59495-2024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45638</v>
      </c>
      <c r="E57" s="1" t="n">
        <v>46323</v>
      </c>
      <c r="F57" t="inlineStr">
        <is>
          <t>ÖREBRO LÄN</t>
        </is>
      </c>
      <c r="G57" t="inlineStr">
        <is>
          <t>LJUSNARSBERG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46323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46323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46323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46323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46323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46323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46323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46323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46323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18.1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46323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45574</v>
      </c>
      <c r="E68" s="1" t="n">
        <v>46323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46323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46323</v>
      </c>
      <c r="F70" t="inlineStr">
        <is>
          <t>ÖREBRO LÄN</t>
        </is>
      </c>
      <c r="G70" t="inlineStr">
        <is>
          <t>LJUSNARSBERG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42287-2025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46323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46323</v>
      </c>
      <c r="F72" t="inlineStr">
        <is>
          <t>ÖREBRO LÄN</t>
        </is>
      </c>
      <c r="G72" t="inlineStr">
        <is>
          <t>LJUSNARSBERG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46323</v>
      </c>
      <c r="F73" t="inlineStr">
        <is>
          <t>ÖREBRO LÄN</t>
        </is>
      </c>
      <c r="G73" t="inlineStr">
        <is>
          <t>LJUSNARSBERG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46323</v>
      </c>
      <c r="F74" t="inlineStr">
        <is>
          <t>ÖREBRO LÄN</t>
        </is>
      </c>
      <c r="G74" t="inlineStr">
        <is>
          <t>LJUSNARSBERG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46323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45124</v>
      </c>
      <c r="E76" s="1" t="n">
        <v>46323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45347</v>
      </c>
      <c r="E77" s="1" t="n">
        <v>46323</v>
      </c>
      <c r="F77" t="inlineStr">
        <is>
          <t>ÖREBRO LÄN</t>
        </is>
      </c>
      <c r="G77" t="inlineStr">
        <is>
          <t>LJUSNARSBERG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46323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46323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46323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46492-2025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46323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46323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44880</v>
      </c>
      <c r="E83" s="1" t="n">
        <v>46323</v>
      </c>
      <c r="F83" t="inlineStr">
        <is>
          <t>ÖREBRO LÄN</t>
        </is>
      </c>
      <c r="G83" t="inlineStr">
        <is>
          <t>LJUSNARSBERG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46323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45901</v>
      </c>
      <c r="E85" s="1" t="n">
        <v>46323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46323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46323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46323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46323</v>
      </c>
      <c r="F89" t="inlineStr">
        <is>
          <t>ÖREBRO LÄN</t>
        </is>
      </c>
      <c r="G89" t="inlineStr">
        <is>
          <t>LJUSNARSBERG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46323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59497-2024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45638</v>
      </c>
      <c r="E91" s="1" t="n">
        <v>46323</v>
      </c>
      <c r="F91" t="inlineStr">
        <is>
          <t>ÖREBRO LÄN</t>
        </is>
      </c>
      <c r="G91" t="inlineStr">
        <is>
          <t>LJUSNARSBERG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46323</v>
      </c>
      <c r="F92" t="inlineStr">
        <is>
          <t>ÖREBRO LÄN</t>
        </is>
      </c>
      <c r="G92" t="inlineStr">
        <is>
          <t>LJUSNARSBERG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22887-2024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45448</v>
      </c>
      <c r="E93" s="1" t="n">
        <v>46323</v>
      </c>
      <c r="F93" t="inlineStr">
        <is>
          <t>ÖREBRO LÄN</t>
        </is>
      </c>
      <c r="G93" t="inlineStr">
        <is>
          <t>LJUSNARSBERG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46323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31162-2023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46323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12482-2023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44999</v>
      </c>
      <c r="E96" s="1" t="n">
        <v>46323</v>
      </c>
      <c r="F96" t="inlineStr">
        <is>
          <t>ÖREBRO LÄN</t>
        </is>
      </c>
      <c r="G96" t="inlineStr">
        <is>
          <t>LJUSNARSBERG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46323</v>
      </c>
      <c r="F97" t="inlineStr">
        <is>
          <t>ÖREBRO LÄN</t>
        </is>
      </c>
      <c r="G97" t="inlineStr">
        <is>
          <t>LJUSNARSBERG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46323</v>
      </c>
      <c r="F98" t="inlineStr">
        <is>
          <t>ÖREBRO LÄN</t>
        </is>
      </c>
      <c r="G98" t="inlineStr">
        <is>
          <t>LJUSNARSBERG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45578</v>
      </c>
      <c r="E99" s="1" t="n">
        <v>46323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67746-2021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44524</v>
      </c>
      <c r="E100" s="1" t="n">
        <v>46323</v>
      </c>
      <c r="F100" t="inlineStr">
        <is>
          <t>ÖREBRO LÄN</t>
        </is>
      </c>
      <c r="G100" t="inlineStr">
        <is>
          <t>LJUSNARSBERG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46323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46323</v>
      </c>
      <c r="F102" t="inlineStr">
        <is>
          <t>ÖREBRO LÄN</t>
        </is>
      </c>
      <c r="G102" t="inlineStr">
        <is>
          <t>LJUSNARSBERG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46323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46323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46323</v>
      </c>
      <c r="F105" t="inlineStr">
        <is>
          <t>ÖREBRO LÄN</t>
        </is>
      </c>
      <c r="G105" t="inlineStr">
        <is>
          <t>LJUSNARSBERG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46323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46323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46323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46323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46323</v>
      </c>
      <c r="F110" t="inlineStr">
        <is>
          <t>ÖREBRO LÄN</t>
        </is>
      </c>
      <c r="G110" t="inlineStr">
        <is>
          <t>LJUSNARSBERG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25574-2023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45089</v>
      </c>
      <c r="E111" s="1" t="n">
        <v>46323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46323</v>
      </c>
      <c r="F112" t="inlineStr">
        <is>
          <t>ÖREBRO LÄN</t>
        </is>
      </c>
      <c r="G112" t="inlineStr">
        <is>
          <t>LJUSNARSBERG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46323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28778-2024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45478</v>
      </c>
      <c r="E114" s="1" t="n">
        <v>46323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46323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45387</v>
      </c>
      <c r="E116" s="1" t="n">
        <v>46323</v>
      </c>
      <c r="F116" t="inlineStr">
        <is>
          <t>ÖREBRO LÄN</t>
        </is>
      </c>
      <c r="G116" t="inlineStr">
        <is>
          <t>LJUSNARSBERG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46323</v>
      </c>
      <c r="F117" t="inlineStr">
        <is>
          <t>ÖREBRO LÄN</t>
        </is>
      </c>
      <c r="G117" t="inlineStr">
        <is>
          <t>LJUSNARSBERG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46323</v>
      </c>
      <c r="F118" t="inlineStr">
        <is>
          <t>ÖREBRO LÄN</t>
        </is>
      </c>
      <c r="G118" t="inlineStr">
        <is>
          <t>LJUSNARSBERG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45593</v>
      </c>
      <c r="E119" s="1" t="n">
        <v>46323</v>
      </c>
      <c r="F119" t="inlineStr">
        <is>
          <t>ÖREBRO LÄN</t>
        </is>
      </c>
      <c r="G119" t="inlineStr">
        <is>
          <t>LJUSNARSBERG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45649</v>
      </c>
      <c r="E120" s="1" t="n">
        <v>46323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46323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46323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45142</v>
      </c>
      <c r="E123" s="1" t="n">
        <v>46323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46323</v>
      </c>
      <c r="F124" t="inlineStr">
        <is>
          <t>ÖREBRO LÄN</t>
        </is>
      </c>
      <c r="G124" t="inlineStr">
        <is>
          <t>LJUSNARSBERG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46323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46323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44694</v>
      </c>
      <c r="E127" s="1" t="n">
        <v>46323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33976-2023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45124</v>
      </c>
      <c r="E128" s="1" t="n">
        <v>46323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46323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46323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46167</v>
      </c>
      <c r="E131" s="1" t="n">
        <v>46323</v>
      </c>
      <c r="F131" t="inlineStr">
        <is>
          <t>ÖREBRO LÄN</t>
        </is>
      </c>
      <c r="G131" t="inlineStr">
        <is>
          <t>LJUSNARSBERG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46323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46281</v>
      </c>
      <c r="E133" s="1" t="n">
        <v>46323</v>
      </c>
      <c r="F133" t="inlineStr">
        <is>
          <t>ÖREBRO LÄN</t>
        </is>
      </c>
      <c r="G133" t="inlineStr">
        <is>
          <t>LJUSNARSBERG</t>
        </is>
      </c>
      <c r="H133" t="inlineStr">
        <is>
          <t>Kyrkan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46323</v>
      </c>
      <c r="F134" t="inlineStr">
        <is>
          <t>ÖREBRO LÄN</t>
        </is>
      </c>
      <c r="G134" t="inlineStr">
        <is>
          <t>LJUSNARSBERG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46323</v>
      </c>
      <c r="F135" t="inlineStr">
        <is>
          <t>ÖREBRO LÄN</t>
        </is>
      </c>
      <c r="G135" t="inlineStr">
        <is>
          <t>LJUSNARSBERG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46323</v>
      </c>
      <c r="F136" t="inlineStr">
        <is>
          <t>ÖREBRO LÄN</t>
        </is>
      </c>
      <c r="G136" t="inlineStr">
        <is>
          <t>LJUSNARSBERG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46323</v>
      </c>
      <c r="F137" t="inlineStr">
        <is>
          <t>ÖREBRO LÄN</t>
        </is>
      </c>
      <c r="G137" t="inlineStr">
        <is>
          <t>LJUSNARSBERG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45399</v>
      </c>
      <c r="E138" s="1" t="n">
        <v>46323</v>
      </c>
      <c r="F138" t="inlineStr">
        <is>
          <t>ÖREBRO LÄN</t>
        </is>
      </c>
      <c r="G138" t="inlineStr">
        <is>
          <t>LJUSNARSBERG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46323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46246</v>
      </c>
      <c r="E140" s="1" t="n">
        <v>46323</v>
      </c>
      <c r="F140" t="inlineStr">
        <is>
          <t>ÖREBRO LÄN</t>
        </is>
      </c>
      <c r="G140" t="inlineStr">
        <is>
          <t>LJUSNARSBERG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46247</v>
      </c>
      <c r="E141" s="1" t="n">
        <v>46323</v>
      </c>
      <c r="F141" t="inlineStr">
        <is>
          <t>ÖREBRO LÄN</t>
        </is>
      </c>
      <c r="G141" t="inlineStr">
        <is>
          <t>LJUSNARSBERG</t>
        </is>
      </c>
      <c r="H141" t="inlineStr">
        <is>
          <t>Kyrkan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46290</v>
      </c>
      <c r="E142" s="1" t="n">
        <v>46323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44607</v>
      </c>
      <c r="E143" s="1" t="n">
        <v>46323</v>
      </c>
      <c r="F143" t="inlineStr">
        <is>
          <t>ÖREBRO LÄN</t>
        </is>
      </c>
      <c r="G143" t="inlineStr">
        <is>
          <t>LJUSNARSBERG</t>
        </is>
      </c>
      <c r="H143" t="inlineStr">
        <is>
          <t>Kyrkan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46323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45177</v>
      </c>
      <c r="E145" s="1" t="n">
        <v>46323</v>
      </c>
      <c r="F145" t="inlineStr">
        <is>
          <t>ÖREBRO LÄN</t>
        </is>
      </c>
      <c r="G145" t="inlineStr">
        <is>
          <t>LJUSNARSBERG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46294</v>
      </c>
      <c r="E146" s="1" t="n">
        <v>46323</v>
      </c>
      <c r="F146" t="inlineStr">
        <is>
          <t>ÖREBRO LÄN</t>
        </is>
      </c>
      <c r="G146" t="inlineStr">
        <is>
          <t>LJUSNARSBERG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46323</v>
      </c>
      <c r="F147" t="inlineStr">
        <is>
          <t>ÖREBRO LÄN</t>
        </is>
      </c>
      <c r="G147" t="inlineStr">
        <is>
          <t>LJUSNARSBERG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46251</v>
      </c>
      <c r="E148" s="1" t="n">
        <v>46323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46323</v>
      </c>
      <c r="F149" t="inlineStr">
        <is>
          <t>ÖREBRO LÄN</t>
        </is>
      </c>
      <c r="G149" t="inlineStr">
        <is>
          <t>LJUSNARSBERG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46323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46301</v>
      </c>
      <c r="E151" s="1" t="n">
        <v>46323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46300</v>
      </c>
      <c r="E152" s="1" t="n">
        <v>46323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46300</v>
      </c>
      <c r="E153" s="1" t="n">
        <v>46323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46300</v>
      </c>
      <c r="E154" s="1" t="n">
        <v>46323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46133</v>
      </c>
      <c r="E155" s="1" t="n">
        <v>46323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41471-2026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46300</v>
      </c>
      <c r="E156" s="1" t="n">
        <v>46323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46301</v>
      </c>
      <c r="E157" s="1" t="n">
        <v>46323</v>
      </c>
      <c r="F157" t="inlineStr">
        <is>
          <t>ÖREBRO LÄN</t>
        </is>
      </c>
      <c r="G157" t="inlineStr">
        <is>
          <t>LJUSNARSBERG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20673-2025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45776</v>
      </c>
      <c r="E158" s="1" t="n">
        <v>46323</v>
      </c>
      <c r="F158" t="inlineStr">
        <is>
          <t>ÖREBRO LÄN</t>
        </is>
      </c>
      <c r="G158" t="inlineStr">
        <is>
          <t>LJUSNARSBERG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46323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46323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46323</v>
      </c>
      <c r="F161" t="inlineStr">
        <is>
          <t>ÖREBRO LÄN</t>
        </is>
      </c>
      <c r="G161" t="inlineStr">
        <is>
          <t>LJUSNARSBERG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46323</v>
      </c>
      <c r="F162" t="inlineStr">
        <is>
          <t>ÖREBRO LÄN</t>
        </is>
      </c>
      <c r="G162" t="inlineStr">
        <is>
          <t>LJUSNARSBERG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46307</v>
      </c>
      <c r="E163" s="1" t="n">
        <v>46323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46323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46323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46323</v>
      </c>
      <c r="F166" t="inlineStr">
        <is>
          <t>ÖREBRO LÄN</t>
        </is>
      </c>
      <c r="G166" t="inlineStr">
        <is>
          <t>LJUSNARSBERG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46323</v>
      </c>
      <c r="F167" t="inlineStr">
        <is>
          <t>ÖREBRO LÄN</t>
        </is>
      </c>
      <c r="G167" t="inlineStr">
        <is>
          <t>LJUSNARSBERG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46323</v>
      </c>
      <c r="F168" t="inlineStr">
        <is>
          <t>ÖREBRO LÄN</t>
        </is>
      </c>
      <c r="G168" t="inlineStr">
        <is>
          <t>LJUSNARSBERG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46323</v>
      </c>
      <c r="F169" t="inlineStr">
        <is>
          <t>ÖREBRO LÄN</t>
        </is>
      </c>
      <c r="G169" t="inlineStr">
        <is>
          <t>LJUSNARSBERG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46323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46323</v>
      </c>
      <c r="F171" t="inlineStr">
        <is>
          <t>ÖREBRO LÄN</t>
        </is>
      </c>
      <c r="G171" t="inlineStr">
        <is>
          <t>LJUSNARSBERG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46323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46323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46272</v>
      </c>
      <c r="E174" s="1" t="n">
        <v>46323</v>
      </c>
      <c r="F174" t="inlineStr">
        <is>
          <t>ÖREBRO LÄN</t>
        </is>
      </c>
      <c r="G174" t="inlineStr">
        <is>
          <t>LJUSNARSBERG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46315</v>
      </c>
      <c r="E175" s="1" t="n">
        <v>46323</v>
      </c>
      <c r="F175" t="inlineStr">
        <is>
          <t>ÖREBRO LÄN</t>
        </is>
      </c>
      <c r="G175" t="inlineStr">
        <is>
          <t>LJUSNARSBERG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46323</v>
      </c>
      <c r="F176" t="inlineStr">
        <is>
          <t>ÖREBRO LÄN</t>
        </is>
      </c>
      <c r="G176" t="inlineStr">
        <is>
          <t>LJUSNARSBERG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46323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46315</v>
      </c>
      <c r="E178" s="1" t="n">
        <v>46323</v>
      </c>
      <c r="F178" t="inlineStr">
        <is>
          <t>ÖREBRO LÄN</t>
        </is>
      </c>
      <c r="G178" t="inlineStr">
        <is>
          <t>LJUSNARSBERG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46317</v>
      </c>
      <c r="E179" s="1" t="n">
        <v>46323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46323</v>
      </c>
      <c r="F180" t="inlineStr">
        <is>
          <t>ÖREBRO LÄN</t>
        </is>
      </c>
      <c r="G180" t="inlineStr">
        <is>
          <t>LJUSNARSBERG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46323</v>
      </c>
      <c r="F181" t="inlineStr">
        <is>
          <t>ÖREBRO LÄN</t>
        </is>
      </c>
      <c r="G181" t="inlineStr">
        <is>
          <t>LJUSNARSBERG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46323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46317</v>
      </c>
      <c r="E183" s="1" t="n">
        <v>46323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46323</v>
      </c>
      <c r="F184" t="inlineStr">
        <is>
          <t>ÖREBRO LÄN</t>
        </is>
      </c>
      <c r="G184" t="inlineStr">
        <is>
          <t>LJUSNARSBERG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46323</v>
      </c>
      <c r="F185" t="inlineStr">
        <is>
          <t>ÖREBRO LÄN</t>
        </is>
      </c>
      <c r="G185" t="inlineStr">
        <is>
          <t>LJUSNARSBERG</t>
        </is>
      </c>
      <c r="I185" t="n">
        <v>14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46322</v>
      </c>
      <c r="E186" s="1" t="n">
        <v>46323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46323</v>
      </c>
      <c r="F187" t="inlineStr">
        <is>
          <t>ÖREBRO LÄN</t>
        </is>
      </c>
      <c r="G187" t="inlineStr">
        <is>
          <t>LJUSNARSBERG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46323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46279</v>
      </c>
      <c r="E189" s="1" t="n">
        <v>46323</v>
      </c>
      <c r="F189" t="inlineStr">
        <is>
          <t>ÖREBRO LÄN</t>
        </is>
      </c>
      <c r="G189" t="inlineStr">
        <is>
          <t>LJUSNARSBERG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46323</v>
      </c>
      <c r="F190" t="inlineStr">
        <is>
          <t>ÖREBRO LÄN</t>
        </is>
      </c>
      <c r="G190" t="inlineStr">
        <is>
          <t>LJUSNARSBERG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46323</v>
      </c>
      <c r="F191" t="inlineStr">
        <is>
          <t>ÖREBRO LÄN</t>
        </is>
      </c>
      <c r="G191" t="inlineStr">
        <is>
          <t>LJUSNARSBERG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45659</v>
      </c>
      <c r="E192" s="1" t="n">
        <v>46323</v>
      </c>
      <c r="F192" t="inlineStr">
        <is>
          <t>ÖREBRO LÄN</t>
        </is>
      </c>
      <c r="G192" t="inlineStr">
        <is>
          <t>LJUSNARSBERG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46323</v>
      </c>
      <c r="F193" t="inlineStr">
        <is>
          <t>ÖREBRO LÄN</t>
        </is>
      </c>
      <c r="G193" t="inlineStr">
        <is>
          <t>LJUSNARSBERG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46323</v>
      </c>
      <c r="F194" t="inlineStr">
        <is>
          <t>ÖREBRO LÄN</t>
        </is>
      </c>
      <c r="G194" t="inlineStr">
        <is>
          <t>LJUSNARSBERG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46323</v>
      </c>
      <c r="F195" t="inlineStr">
        <is>
          <t>ÖREBRO LÄN</t>
        </is>
      </c>
      <c r="G195" t="inlineStr">
        <is>
          <t>LJUSNARSBERG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46323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46323</v>
      </c>
      <c r="F197" t="inlineStr">
        <is>
          <t>ÖREBRO LÄN</t>
        </is>
      </c>
      <c r="G197" t="inlineStr">
        <is>
          <t>LJUSNARSBERG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46323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46323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46323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46323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46323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46323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46323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46323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46323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46323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46323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46323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46323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46323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46323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2322-2026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46269</v>
      </c>
      <c r="E213" s="1" t="n">
        <v>46323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67.09999999999999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1624-2026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46174</v>
      </c>
      <c r="E214" s="1" t="n">
        <v>46323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2026-10-28T03:17:04Z</dcterms:created>
  <dcterms:modified xmlns:dcterms="http://purl.org/dc/terms/" xmlns:xsi="http://www.w3.org/2001/XMLSchema-instance" xsi:type="dcterms:W3CDTF">2026-10-28T03:17:04Z</dcterms:modified>
</cp:coreProperties>
</file>