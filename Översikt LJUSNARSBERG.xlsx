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46230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46230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46230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46230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46230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46230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46127</v>
      </c>
      <c r="E11" s="1" t="n">
        <v>46230</v>
      </c>
      <c r="F11" t="inlineStr">
        <is>
          <t>ÖREBRO LÄN</t>
        </is>
      </c>
      <c r="G11" t="inlineStr">
        <is>
          <t>LJUSNARSBERG</t>
        </is>
      </c>
      <c r="I11" t="n">
        <v>9.5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Entita
Bronshjon
Spillkråka
Grönsiska
Kungsfågel</t>
        </is>
      </c>
      <c r="W11">
        <f>HYPERLINK("https://klasma.github.io/Logging_1864/artfynd/A 18853-2026 artfynd.xlsx", "A 18853-2026")</f>
        <v/>
      </c>
      <c r="X11">
        <f>HYPERLINK("https://klasma.github.io/Logging_1864/kartor/A 18853-2026 karta.png", "A 18853-2026")</f>
        <v/>
      </c>
      <c r="Y11">
        <f>HYPERLINK("https://klasma.github.io/Logging_1864/kartor_geotiff/A 18853-2026 georefererad karta.tif", "A 18853-2026")</f>
        <v/>
      </c>
      <c r="AA11">
        <f>HYPERLINK("https://klasma.github.io/Logging_1864/klagomål/A 18853-2026 FSC-klagomål.docx", "A 18853-2026")</f>
        <v/>
      </c>
      <c r="AB11">
        <f>HYPERLINK("https://klasma.github.io/Logging_1864/klagomålsmail/A 18853-2026 FSC-klagomål mail.docx", "A 18853-2026")</f>
        <v/>
      </c>
      <c r="AC11">
        <f>HYPERLINK("https://klasma.github.io/Logging_1864/tillsyn/A 18853-2026 tillsynsbegäran.docx", "A 18853-2026")</f>
        <v/>
      </c>
      <c r="AD11">
        <f>HYPERLINK("https://klasma.github.io/Logging_1864/tillsynsmail/A 18853-2026 tillsynsbegäran mail.docx", "A 18853-2026")</f>
        <v/>
      </c>
      <c r="AE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46230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46230</v>
      </c>
      <c r="F14" t="inlineStr">
        <is>
          <t>ÖREBRO LÄN</t>
        </is>
      </c>
      <c r="G14" t="inlineStr">
        <is>
          <t>LJUSNARSBERG</t>
        </is>
      </c>
      <c r="I14" t="n">
        <v>10.5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11</v>
      </c>
      <c r="U14" t="n">
        <v>11</v>
      </c>
      <c r="V14" s="2" t="inlineStr">
        <is>
          <t>Tretåig hackspett
Tjäder
Vanlig groda
Fläcknycklar</t>
        </is>
      </c>
      <c r="W14">
        <f>HYPERLINK("https://klasma.github.io/Logging_1864/artfynd/A 24307-2026 artfynd.xlsx", "A 24307-2026")</f>
        <v/>
      </c>
      <c r="X14">
        <f>HYPERLINK("https://klasma.github.io/Logging_1864/kartor/A 24307-2026 karta.png", "A 24307-2026")</f>
        <v/>
      </c>
      <c r="Y14">
        <f>HYPERLINK("https://klasma.github.io/Logging_1864/kartor_geotiff/A 24307-2026 georefererad karta.tif", "A 24307-2026")</f>
        <v/>
      </c>
      <c r="AA14">
        <f>HYPERLINK("https://klasma.github.io/Logging_1864/klagomål/A 24307-2026 FSC-klagomål.docx", "A 24307-2026")</f>
        <v/>
      </c>
      <c r="AB14">
        <f>HYPERLINK("https://klasma.github.io/Logging_1864/klagomålsmail/A 24307-2026 FSC-klagomål mail.docx", "A 24307-2026")</f>
        <v/>
      </c>
      <c r="AC14">
        <f>HYPERLINK("https://klasma.github.io/Logging_1864/tillsyn/A 24307-2026 tillsynsbegäran.docx", "A 24307-2026")</f>
        <v/>
      </c>
      <c r="AD14">
        <f>HYPERLINK("https://klasma.github.io/Logging_1864/tillsynsmail/A 24307-2026 tillsynsbegäran mail.docx", "A 24307-2026")</f>
        <v/>
      </c>
      <c r="AE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46230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46230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46230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46230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46230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62105-2022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44920</v>
      </c>
      <c r="E20" s="1" t="n">
        <v>46230</v>
      </c>
      <c r="F20" t="inlineStr">
        <is>
          <t>ÖREBRO LÄN</t>
        </is>
      </c>
      <c r="G20" t="inlineStr">
        <is>
          <t>LJUSNARSBERG</t>
        </is>
      </c>
      <c r="I20" t="n">
        <v>5.7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7</v>
      </c>
      <c r="V20" s="2" t="inlineStr">
        <is>
          <t>Spillkråka
Kungsfågel</t>
        </is>
      </c>
      <c r="W20">
        <f>HYPERLINK("https://klasma.github.io/Logging_1864/artfynd/A 62105-2022 artfynd.xlsx", "A 62105-2022")</f>
        <v/>
      </c>
      <c r="X20">
        <f>HYPERLINK("https://klasma.github.io/Logging_1864/kartor/A 62105-2022 karta.png", "A 62105-2022")</f>
        <v/>
      </c>
      <c r="Y20">
        <f>HYPERLINK("https://klasma.github.io/Logging_1864/kartor_geotiff/A 62105-2022 georefererad karta.tif", "A 62105-2022")</f>
        <v/>
      </c>
      <c r="AA20">
        <f>HYPERLINK("https://klasma.github.io/Logging_1864/klagomål/A 62105-2022 FSC-klagomål.docx", "A 62105-2022")</f>
        <v/>
      </c>
      <c r="AB20">
        <f>HYPERLINK("https://klasma.github.io/Logging_1864/klagomålsmail/A 62105-2022 FSC-klagomål mail.docx", "A 62105-2022")</f>
        <v/>
      </c>
      <c r="AC20">
        <f>HYPERLINK("https://klasma.github.io/Logging_1864/tillsyn/A 62105-2022 tillsynsbegäran.docx", "A 62105-2022")</f>
        <v/>
      </c>
      <c r="AD20">
        <f>HYPERLINK("https://klasma.github.io/Logging_1864/tillsynsmail/A 62105-2022 tillsynsbegäran mail.docx", "A 62105-2022")</f>
        <v/>
      </c>
      <c r="AE20">
        <f>HYPERLINK("https://klasma.github.io/Logging_1864/fåglar/A 62105-2022 prioriterade fågelarter.docx", "A 62105-2022")</f>
        <v/>
      </c>
    </row>
    <row r="21" ht="15" customHeight="1">
      <c r="A21" t="inlineStr">
        <is>
          <t>A 53729-2024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46230</v>
      </c>
      <c r="F21" t="inlineStr">
        <is>
          <t>ÖREBRO LÄN</t>
        </is>
      </c>
      <c r="G21" t="inlineStr">
        <is>
          <t>LJUSNARSBERG</t>
        </is>
      </c>
      <c r="I21" t="n">
        <v>14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Aspfjädermossa
Smal svampklubba</t>
        </is>
      </c>
      <c r="W21">
        <f>HYPERLINK("https://klasma.github.io/Logging_1864/artfynd/A 53729-2024 artfynd.xlsx", "A 53729-2024")</f>
        <v/>
      </c>
      <c r="X21">
        <f>HYPERLINK("https://klasma.github.io/Logging_1864/kartor/A 53729-2024 karta.png", "A 53729-2024")</f>
        <v/>
      </c>
      <c r="Y21">
        <f>HYPERLINK("https://klasma.github.io/Logging_1864/kartor_geotiff/A 53729-2024 georefererad karta.tif", "A 53729-2024")</f>
        <v/>
      </c>
      <c r="AA21">
        <f>HYPERLINK("https://klasma.github.io/Logging_1864/klagomål/A 53729-2024 FSC-klagomål.docx", "A 53729-2024")</f>
        <v/>
      </c>
      <c r="AB21">
        <f>HYPERLINK("https://klasma.github.io/Logging_1864/klagomålsmail/A 53729-2024 FSC-klagomål mail.docx", "A 53729-2024")</f>
        <v/>
      </c>
      <c r="AC21">
        <f>HYPERLINK("https://klasma.github.io/Logging_1864/tillsyn/A 53729-2024 tillsynsbegäran.docx", "A 53729-2024")</f>
        <v/>
      </c>
      <c r="AD21">
        <f>HYPERLINK("https://klasma.github.io/Logging_1864/tillsynsmail/A 53729-2024 tillsynsbegäran mail.docx", "A 53729-2024")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46230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56179-2024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46230</v>
      </c>
      <c r="F23" t="inlineStr">
        <is>
          <t>ÖREBRO LÄN</t>
        </is>
      </c>
      <c r="G23" t="inlineStr">
        <is>
          <t>LJUSNARSBERG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Vedticka</t>
        </is>
      </c>
      <c r="W23">
        <f>HYPERLINK("https://klasma.github.io/Logging_1864/artfynd/A 56179-2024 artfynd.xlsx", "A 56179-2024")</f>
        <v/>
      </c>
      <c r="X23">
        <f>HYPERLINK("https://klasma.github.io/Logging_1864/kartor/A 56179-2024 karta.png", "A 56179-2024")</f>
        <v/>
      </c>
      <c r="Y23">
        <f>HYPERLINK("https://klasma.github.io/Logging_1864/kartor_geotiff/A 56179-2024 georefererad karta.tif", "A 56179-2024")</f>
        <v/>
      </c>
      <c r="AA23">
        <f>HYPERLINK("https://klasma.github.io/Logging_1864/klagomål/A 56179-2024 FSC-klagomål.docx", "A 56179-2024")</f>
        <v/>
      </c>
      <c r="AB23">
        <f>HYPERLINK("https://klasma.github.io/Logging_1864/klagomålsmail/A 56179-2024 FSC-klagomål mail.docx", "A 56179-2024")</f>
        <v/>
      </c>
      <c r="AC23">
        <f>HYPERLINK("https://klasma.github.io/Logging_1864/tillsyn/A 56179-2024 tillsynsbegäran.docx", "A 56179-2024")</f>
        <v/>
      </c>
      <c r="AD23">
        <f>HYPERLINK("https://klasma.github.io/Logging_1864/tillsynsmail/A 56179-2024 tillsynsbegäran mail.docx", "A 56179-2024")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46230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46230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46230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46230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46230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46230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46230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46230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20797-2022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44701</v>
      </c>
      <c r="E32" s="1" t="n">
        <v>46230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HYPERLINK("https://klasma.github.io/Logging_1864/artfynd/A 20797-2022 artfynd.xlsx", "A 20797-2022")</f>
        <v/>
      </c>
      <c r="X32">
        <f>HYPERLINK("https://klasma.github.io/Logging_1864/kartor/A 20797-2022 karta.png", "A 20797-2022")</f>
        <v/>
      </c>
      <c r="Y32">
        <f>HYPERLINK("https://klasma.github.io/Logging_1864/kartor_geotiff/A 20797-2022 georefererad karta.tif", "A 20797-2022")</f>
        <v/>
      </c>
      <c r="AA32">
        <f>HYPERLINK("https://klasma.github.io/Logging_1864/klagomål/A 20797-2022 FSC-klagomål.docx", "A 20797-2022")</f>
        <v/>
      </c>
      <c r="AB32">
        <f>HYPERLINK("https://klasma.github.io/Logging_1864/klagomålsmail/A 20797-2022 FSC-klagomål mail.docx", "A 20797-2022")</f>
        <v/>
      </c>
      <c r="AC32">
        <f>HYPERLINK("https://klasma.github.io/Logging_1864/tillsyn/A 20797-2022 tillsynsbegäran.docx", "A 20797-2022")</f>
        <v/>
      </c>
      <c r="AD32">
        <f>HYPERLINK("https://klasma.github.io/Logging_1864/tillsynsmail/A 20797-2022 tillsynsbegäran mail.docx", "A 20797-2022")</f>
        <v/>
      </c>
    </row>
    <row r="33" ht="15" customHeight="1">
      <c r="A33" t="inlineStr">
        <is>
          <t>A 39095-2022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46230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HYPERLINK("https://klasma.github.io/Logging_1864/artfynd/A 39095-2022 artfynd.xlsx", "A 39095-2022")</f>
        <v/>
      </c>
      <c r="X33">
        <f>HYPERLINK("https://klasma.github.io/Logging_1864/kartor/A 39095-2022 karta.png", "A 39095-2022")</f>
        <v/>
      </c>
      <c r="Y33">
        <f>HYPERLINK("https://klasma.github.io/Logging_1864/kartor_geotiff/A 39095-2022 georefererad karta.tif", "A 39095-2022")</f>
        <v/>
      </c>
      <c r="AA33">
        <f>HYPERLINK("https://klasma.github.io/Logging_1864/klagomål/A 39095-2022 FSC-klagomål.docx", "A 39095-2022")</f>
        <v/>
      </c>
      <c r="AB33">
        <f>HYPERLINK("https://klasma.github.io/Logging_1864/klagomålsmail/A 39095-2022 FSC-klagomål mail.docx", "A 39095-2022")</f>
        <v/>
      </c>
      <c r="AC33">
        <f>HYPERLINK("https://klasma.github.io/Logging_1864/tillsyn/A 39095-2022 tillsynsbegäran.docx", "A 39095-2022")</f>
        <v/>
      </c>
      <c r="AD33">
        <f>HYPERLINK("https://klasma.github.io/Logging_1864/tillsynsmail/A 39095-2022 tillsynsbegäran mail.docx", "A 39095-2022")</f>
        <v/>
      </c>
    </row>
    <row r="34" ht="15" customHeight="1">
      <c r="A34" t="inlineStr">
        <is>
          <t>S 3758-2024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45555</v>
      </c>
      <c r="E34" s="1" t="n">
        <v>46230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14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Bårdlav</t>
        </is>
      </c>
      <c r="W34">
        <f>HYPERLINK("https://klasma.github.io/Logging_1864/artfynd/S 3758-2024 artfynd.xlsx", "S 3758-2024")</f>
        <v/>
      </c>
      <c r="X34">
        <f>HYPERLINK("https://klasma.github.io/Logging_1864/kartor/S 3758-2024 karta.png", "S 3758-2024")</f>
        <v/>
      </c>
      <c r="Y34">
        <f>HYPERLINK("https://klasma.github.io/Logging_1864/kartor_geotiff/S 3758-2024 georefererad karta.tif", "S 3758-2024")</f>
        <v/>
      </c>
      <c r="AA34">
        <f>HYPERLINK("https://klasma.github.io/Logging_1864/klagomål/S 3758-2024 FSC-klagomål.docx", "S 3758-2024")</f>
        <v/>
      </c>
      <c r="AB34">
        <f>HYPERLINK("https://klasma.github.io/Logging_1864/klagomålsmail/S 3758-2024 FSC-klagomål mail.docx", "S 3758-2024")</f>
        <v/>
      </c>
      <c r="AC34">
        <f>HYPERLINK("https://klasma.github.io/Logging_1864/tillsyn/S 3758-2024 tillsynsbegäran.docx", "S 3758-2024")</f>
        <v/>
      </c>
      <c r="AD34">
        <f>HYPERLINK("https://klasma.github.io/Logging_1864/tillsynsmail/S 3758-2024 tillsynsbegäran mail.docx", "S 3758-2024")</f>
        <v/>
      </c>
    </row>
    <row r="35" ht="15" customHeight="1">
      <c r="A35" t="inlineStr">
        <is>
          <t>A 64400-2021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46230</v>
      </c>
      <c r="F35" t="inlineStr">
        <is>
          <t>ÖREBRO LÄN</t>
        </is>
      </c>
      <c r="G35" t="inlineStr">
        <is>
          <t>LJUSNARSBERG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44858-2021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46230</v>
      </c>
      <c r="F36" t="inlineStr">
        <is>
          <t>ÖREBRO LÄN</t>
        </is>
      </c>
      <c r="G36" t="inlineStr">
        <is>
          <t>LJUSNARSBERG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46230</v>
      </c>
      <c r="F37" t="inlineStr">
        <is>
          <t>ÖREBRO LÄN</t>
        </is>
      </c>
      <c r="G37" t="inlineStr">
        <is>
          <t>LJUSNARSBERG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72157-2021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44544</v>
      </c>
      <c r="E38" s="1" t="n">
        <v>46230</v>
      </c>
      <c r="F38" t="inlineStr">
        <is>
          <t>ÖREBRO LÄN</t>
        </is>
      </c>
      <c r="G38" t="inlineStr">
        <is>
          <t>LJUSNARSBERG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64978-2021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44513</v>
      </c>
      <c r="E39" s="1" t="n">
        <v>46230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46230</v>
      </c>
      <c r="F40" t="inlineStr">
        <is>
          <t>ÖREBRO LÄN</t>
        </is>
      </c>
      <c r="G40" t="inlineStr">
        <is>
          <t>LJUSNARSBERG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46230</v>
      </c>
      <c r="F41" t="inlineStr">
        <is>
          <t>ÖREBRO LÄN</t>
        </is>
      </c>
      <c r="G41" t="inlineStr">
        <is>
          <t>LJUSNARSBERG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44293-2021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46230</v>
      </c>
      <c r="F42" t="inlineStr">
        <is>
          <t>ÖREBRO LÄN</t>
        </is>
      </c>
      <c r="G42" t="inlineStr">
        <is>
          <t>LJUSNARSBERG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44412</v>
      </c>
      <c r="E43" s="1" t="n">
        <v>46230</v>
      </c>
      <c r="F43" t="inlineStr">
        <is>
          <t>ÖREBRO LÄN</t>
        </is>
      </c>
      <c r="G43" t="inlineStr">
        <is>
          <t>LJUSNARSBERG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46230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25773-2022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44733</v>
      </c>
      <c r="E45" s="1" t="n">
        <v>46230</v>
      </c>
      <c r="F45" t="inlineStr">
        <is>
          <t>ÖREBRO LÄN</t>
        </is>
      </c>
      <c r="G45" t="inlineStr">
        <is>
          <t>LJUSNARSBERG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46230</v>
      </c>
      <c r="F46" t="inlineStr">
        <is>
          <t>ÖREBRO LÄN</t>
        </is>
      </c>
      <c r="G46" t="inlineStr">
        <is>
          <t>LJUSNARSBERG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46230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50552-2022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46230</v>
      </c>
      <c r="F48" t="inlineStr">
        <is>
          <t>ÖREBRO LÄN</t>
        </is>
      </c>
      <c r="G48" t="inlineStr">
        <is>
          <t>LJUSNARSBERG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44282-2021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46230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46230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46230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46230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45649</v>
      </c>
      <c r="E53" s="1" t="n">
        <v>46230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25574-2023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45089</v>
      </c>
      <c r="E54" s="1" t="n">
        <v>46230</v>
      </c>
      <c r="F54" t="inlineStr">
        <is>
          <t>ÖREBRO LÄN</t>
        </is>
      </c>
      <c r="G54" t="inlineStr">
        <is>
          <t>LJUSNARSBERG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46230</v>
      </c>
      <c r="F55" t="inlineStr">
        <is>
          <t>ÖREBRO LÄN</t>
        </is>
      </c>
      <c r="G55" t="inlineStr">
        <is>
          <t>LJUSNARSBERG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46230</v>
      </c>
      <c r="F56" t="inlineStr">
        <is>
          <t>ÖREBRO LÄN</t>
        </is>
      </c>
      <c r="G56" t="inlineStr">
        <is>
          <t>LJUSNARSBERG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62810-2021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46230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45583</v>
      </c>
      <c r="E58" s="1" t="n">
        <v>46230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46230</v>
      </c>
      <c r="F59" t="inlineStr">
        <is>
          <t>ÖREBRO LÄN</t>
        </is>
      </c>
      <c r="G59" t="inlineStr">
        <is>
          <t>LJUSNARSBERG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46230</v>
      </c>
      <c r="F60" t="inlineStr">
        <is>
          <t>ÖREBRO LÄN</t>
        </is>
      </c>
      <c r="G60" t="inlineStr">
        <is>
          <t>LJUSNARSBERG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46230</v>
      </c>
      <c r="F61" t="inlineStr">
        <is>
          <t>ÖREBRO LÄN</t>
        </is>
      </c>
      <c r="G61" t="inlineStr">
        <is>
          <t>LJUSNARSBERG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62843-2021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46230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46230</v>
      </c>
      <c r="F63" t="inlineStr">
        <is>
          <t>ÖREBRO LÄN</t>
        </is>
      </c>
      <c r="G63" t="inlineStr">
        <is>
          <t>LJUSNARSBERG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46230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44999</v>
      </c>
      <c r="E65" s="1" t="n">
        <v>46230</v>
      </c>
      <c r="F65" t="inlineStr">
        <is>
          <t>ÖREBRO LÄN</t>
        </is>
      </c>
      <c r="G65" t="inlineStr">
        <is>
          <t>LJUSNARSBERG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45419</v>
      </c>
      <c r="E66" s="1" t="n">
        <v>46230</v>
      </c>
      <c r="F66" t="inlineStr">
        <is>
          <t>ÖREBRO LÄN</t>
        </is>
      </c>
      <c r="G66" t="inlineStr">
        <is>
          <t>LJUSNARSBERG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46230</v>
      </c>
      <c r="F67" t="inlineStr">
        <is>
          <t>ÖREBRO LÄN</t>
        </is>
      </c>
      <c r="G67" t="inlineStr">
        <is>
          <t>LJUSNARSBERG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46230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46230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46230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45463</v>
      </c>
      <c r="E71" s="1" t="n">
        <v>46230</v>
      </c>
      <c r="F71" t="inlineStr">
        <is>
          <t>ÖREBRO LÄN</t>
        </is>
      </c>
      <c r="G71" t="inlineStr">
        <is>
          <t>LJUSNARSBERG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46230</v>
      </c>
      <c r="F72" t="inlineStr">
        <is>
          <t>ÖREBRO LÄN</t>
        </is>
      </c>
      <c r="G72" t="inlineStr">
        <is>
          <t>LJUSNARSBERG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22887-2024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45448</v>
      </c>
      <c r="E73" s="1" t="n">
        <v>46230</v>
      </c>
      <c r="F73" t="inlineStr">
        <is>
          <t>ÖREBRO LÄN</t>
        </is>
      </c>
      <c r="G73" t="inlineStr">
        <is>
          <t>LJUSNARSBERG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46230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46230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46230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46230</v>
      </c>
      <c r="F77" t="inlineStr">
        <is>
          <t>ÖREBRO LÄN</t>
        </is>
      </c>
      <c r="G77" t="inlineStr">
        <is>
          <t>LJUSNARSBERG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23346-2022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46230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46230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46230</v>
      </c>
      <c r="F80" t="inlineStr">
        <is>
          <t>ÖREBRO LÄN</t>
        </is>
      </c>
      <c r="G80" t="inlineStr">
        <is>
          <t>LJUSNARSBERG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46230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46230</v>
      </c>
      <c r="F82" t="inlineStr">
        <is>
          <t>ÖREBRO LÄN</t>
        </is>
      </c>
      <c r="G82" t="inlineStr">
        <is>
          <t>LJUSNARSBERG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46230</v>
      </c>
      <c r="F83" t="inlineStr">
        <is>
          <t>ÖREBRO LÄN</t>
        </is>
      </c>
      <c r="G83" t="inlineStr">
        <is>
          <t>LJUSNARSBERG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46230</v>
      </c>
      <c r="F84" t="inlineStr">
        <is>
          <t>ÖREBRO LÄN</t>
        </is>
      </c>
      <c r="G84" t="inlineStr">
        <is>
          <t>LJUSNARSBERG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46230</v>
      </c>
      <c r="F85" t="inlineStr">
        <is>
          <t>ÖREBRO LÄN</t>
        </is>
      </c>
      <c r="G85" t="inlineStr">
        <is>
          <t>LJUSNARSBERG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46230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40477-2025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46230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40477-2025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46230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46230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46230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46230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46230</v>
      </c>
      <c r="F93" t="inlineStr">
        <is>
          <t>ÖREBRO LÄN</t>
        </is>
      </c>
      <c r="G93" t="inlineStr">
        <is>
          <t>LJUSNARSBERG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46230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36108-2024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46230</v>
      </c>
      <c r="F95" t="inlineStr">
        <is>
          <t>ÖREBRO LÄN</t>
        </is>
      </c>
      <c r="G95" t="inlineStr">
        <is>
          <t>LJUSNARSBERG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59630-2024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46230</v>
      </c>
      <c r="F96" t="inlineStr">
        <is>
          <t>ÖREBRO LÄN</t>
        </is>
      </c>
      <c r="G96" t="inlineStr">
        <is>
          <t>LJUSNARSBERG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46230</v>
      </c>
      <c r="F97" t="inlineStr">
        <is>
          <t>ÖREBRO LÄN</t>
        </is>
      </c>
      <c r="G97" t="inlineStr">
        <is>
          <t>LJUSNARSBERG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46230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46230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46230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46230</v>
      </c>
      <c r="F101" t="inlineStr">
        <is>
          <t>ÖREBRO LÄN</t>
        </is>
      </c>
      <c r="G101" t="inlineStr">
        <is>
          <t>LJUSNARSBERG</t>
        </is>
      </c>
      <c r="I101" t="n">
        <v>17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46230</v>
      </c>
      <c r="F102" t="inlineStr">
        <is>
          <t>ÖREBRO LÄN</t>
        </is>
      </c>
      <c r="G102" t="inlineStr">
        <is>
          <t>LJUSNARSBERG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46230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44479-2025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45916</v>
      </c>
      <c r="E104" s="1" t="n">
        <v>46230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46230</v>
      </c>
      <c r="F105" t="inlineStr">
        <is>
          <t>ÖREBRO LÄN</t>
        </is>
      </c>
      <c r="G105" t="inlineStr">
        <is>
          <t>LJUSNARSBERG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46230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46230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46230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46230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46230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59497-2024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45638</v>
      </c>
      <c r="E111" s="1" t="n">
        <v>46230</v>
      </c>
      <c r="F111" t="inlineStr">
        <is>
          <t>ÖREBRO LÄN</t>
        </is>
      </c>
      <c r="G111" t="inlineStr">
        <is>
          <t>LJUSNARSBERG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45124</v>
      </c>
      <c r="E112" s="1" t="n">
        <v>46230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46230</v>
      </c>
      <c r="F113" t="inlineStr">
        <is>
          <t>ÖREBRO LÄN</t>
        </is>
      </c>
      <c r="G113" t="inlineStr">
        <is>
          <t>LJUSNARSBERG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46230</v>
      </c>
      <c r="F114" t="inlineStr">
        <is>
          <t>ÖREBRO LÄN</t>
        </is>
      </c>
      <c r="G114" t="inlineStr">
        <is>
          <t>LJUSNARSBERG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46230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46230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46230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46230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46230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46230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46230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45934</v>
      </c>
      <c r="E122" s="1" t="n">
        <v>46230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45946</v>
      </c>
      <c r="E123" s="1" t="n">
        <v>46230</v>
      </c>
      <c r="F123" t="inlineStr">
        <is>
          <t>ÖREBRO LÄN</t>
        </is>
      </c>
      <c r="G123" t="inlineStr">
        <is>
          <t>LJUSNARSBERG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46230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46230</v>
      </c>
      <c r="F125" t="inlineStr">
        <is>
          <t>ÖREBRO LÄN</t>
        </is>
      </c>
      <c r="G125" t="inlineStr">
        <is>
          <t>LJUSNARSBERG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46230</v>
      </c>
      <c r="F126" t="inlineStr">
        <is>
          <t>ÖREBRO LÄN</t>
        </is>
      </c>
      <c r="G126" t="inlineStr">
        <is>
          <t>LJUSNARSBERG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46230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46230</v>
      </c>
      <c r="F128" t="inlineStr">
        <is>
          <t>ÖREBRO LÄN</t>
        </is>
      </c>
      <c r="G128" t="inlineStr">
        <is>
          <t>LJUSNARSBERG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46230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46230</v>
      </c>
      <c r="F130" t="inlineStr">
        <is>
          <t>ÖREBRO LÄN</t>
        </is>
      </c>
      <c r="G130" t="inlineStr">
        <is>
          <t>LJUSNARSBERG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46230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46230</v>
      </c>
      <c r="F132" t="inlineStr">
        <is>
          <t>ÖREBRO LÄN</t>
        </is>
      </c>
      <c r="G132" t="inlineStr">
        <is>
          <t>LJUSNARSBERG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46230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46230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46230</v>
      </c>
      <c r="F135" t="inlineStr">
        <is>
          <t>ÖREBRO LÄN</t>
        </is>
      </c>
      <c r="G135" t="inlineStr">
        <is>
          <t>LJUSNARSBERG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46230</v>
      </c>
      <c r="F136" t="inlineStr">
        <is>
          <t>ÖREBRO LÄN</t>
        </is>
      </c>
      <c r="G136" t="inlineStr">
        <is>
          <t>LJUSNARSBERG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46230</v>
      </c>
      <c r="F137" t="inlineStr">
        <is>
          <t>ÖREBRO LÄN</t>
        </is>
      </c>
      <c r="G137" t="inlineStr">
        <is>
          <t>LJUSNARSBERG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44564</v>
      </c>
      <c r="E138" s="1" t="n">
        <v>46230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46230</v>
      </c>
      <c r="F139" t="inlineStr">
        <is>
          <t>ÖREBRO LÄN</t>
        </is>
      </c>
      <c r="G139" t="inlineStr">
        <is>
          <t>LJUSNARSBERG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46230</v>
      </c>
      <c r="F140" t="inlineStr">
        <is>
          <t>ÖREBRO LÄN</t>
        </is>
      </c>
      <c r="G140" t="inlineStr">
        <is>
          <t>LJUSNARSBERG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46230</v>
      </c>
      <c r="F141" t="inlineStr">
        <is>
          <t>ÖREBRO LÄN</t>
        </is>
      </c>
      <c r="G141" t="inlineStr">
        <is>
          <t>LJUSNARSBERG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46230</v>
      </c>
      <c r="F142" t="inlineStr">
        <is>
          <t>ÖREBRO LÄN</t>
        </is>
      </c>
      <c r="G142" t="inlineStr">
        <is>
          <t>LJUSNARSBERG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46230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46230</v>
      </c>
      <c r="F144" t="inlineStr">
        <is>
          <t>ÖREBRO LÄN</t>
        </is>
      </c>
      <c r="G144" t="inlineStr">
        <is>
          <t>LJUSNARSBERG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46230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46230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46230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46230</v>
      </c>
      <c r="F148" t="inlineStr">
        <is>
          <t>ÖREBRO LÄN</t>
        </is>
      </c>
      <c r="G148" t="inlineStr">
        <is>
          <t>LJUSNARSBERG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46230</v>
      </c>
      <c r="F149" t="inlineStr">
        <is>
          <t>ÖREBRO LÄN</t>
        </is>
      </c>
      <c r="G149" t="inlineStr">
        <is>
          <t>LJUSNARSBERG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46230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46230</v>
      </c>
      <c r="F151" t="inlineStr">
        <is>
          <t>ÖREBRO LÄN</t>
        </is>
      </c>
      <c r="G151" t="inlineStr">
        <is>
          <t>LJUSNARSBERG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46230</v>
      </c>
      <c r="F152" t="inlineStr">
        <is>
          <t>ÖREBRO LÄN</t>
        </is>
      </c>
      <c r="G152" t="inlineStr">
        <is>
          <t>LJUSNARSBERG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45394</v>
      </c>
      <c r="E153" s="1" t="n">
        <v>46230</v>
      </c>
      <c r="F153" t="inlineStr">
        <is>
          <t>ÖREBRO LÄN</t>
        </is>
      </c>
      <c r="G153" t="inlineStr">
        <is>
          <t>LJUSNARSBERG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45239</v>
      </c>
      <c r="E154" s="1" t="n">
        <v>46230</v>
      </c>
      <c r="F154" t="inlineStr">
        <is>
          <t>ÖREBRO LÄN</t>
        </is>
      </c>
      <c r="G154" t="inlineStr">
        <is>
          <t>LJUSNARSBERG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46230</v>
      </c>
      <c r="F155" t="inlineStr">
        <is>
          <t>ÖREBRO LÄN</t>
        </is>
      </c>
      <c r="G155" t="inlineStr">
        <is>
          <t>LJUSNARSBERG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46230</v>
      </c>
      <c r="F156" t="inlineStr">
        <is>
          <t>ÖREBRO LÄN</t>
        </is>
      </c>
      <c r="G156" t="inlineStr">
        <is>
          <t>LJUSNARSBERG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46230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46230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46230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46230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45578</v>
      </c>
      <c r="E161" s="1" t="n">
        <v>46230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45578</v>
      </c>
      <c r="E162" s="1" t="n">
        <v>46230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46230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46230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46230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44690</v>
      </c>
      <c r="E166" s="1" t="n">
        <v>46230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44438</v>
      </c>
      <c r="E167" s="1" t="n">
        <v>46230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46230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46230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46230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46230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45347</v>
      </c>
      <c r="E172" s="1" t="n">
        <v>46230</v>
      </c>
      <c r="F172" t="inlineStr">
        <is>
          <t>ÖREBRO LÄN</t>
        </is>
      </c>
      <c r="G172" t="inlineStr">
        <is>
          <t>LJUSNARSBERG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46230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46230</v>
      </c>
      <c r="F174" t="inlineStr">
        <is>
          <t>ÖREBRO LÄN</t>
        </is>
      </c>
      <c r="G174" t="inlineStr">
        <is>
          <t>LJUSNARSBERG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44720</v>
      </c>
      <c r="E175" s="1" t="n">
        <v>46230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46230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44468</v>
      </c>
      <c r="E177" s="1" t="n">
        <v>46230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46230</v>
      </c>
      <c r="F178" t="inlineStr">
        <is>
          <t>ÖREBRO LÄN</t>
        </is>
      </c>
      <c r="G178" t="inlineStr">
        <is>
          <t>LJUSNARSBERG</t>
        </is>
      </c>
      <c r="H178" t="inlineStr">
        <is>
          <t>Kyrkan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46230</v>
      </c>
      <c r="F179" t="inlineStr">
        <is>
          <t>ÖREBRO LÄN</t>
        </is>
      </c>
      <c r="G179" t="inlineStr">
        <is>
          <t>LJUSNARSBERG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46230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46230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44694</v>
      </c>
      <c r="E183" s="1" t="n">
        <v>46230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45583</v>
      </c>
      <c r="E184" s="1" t="n">
        <v>46230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46230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46230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46230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46230</v>
      </c>
      <c r="F188" t="inlineStr">
        <is>
          <t>ÖREBRO LÄN</t>
        </is>
      </c>
      <c r="G188" t="inlineStr">
        <is>
          <t>LJUSNARSBERG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46230</v>
      </c>
      <c r="F189" t="inlineStr">
        <is>
          <t>ÖREBRO LÄN</t>
        </is>
      </c>
      <c r="G189" t="inlineStr">
        <is>
          <t>LJUSNARSBERG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46230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46230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46230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46230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46230</v>
      </c>
      <c r="F194" t="inlineStr">
        <is>
          <t>ÖREBRO LÄN</t>
        </is>
      </c>
      <c r="G194" t="inlineStr">
        <is>
          <t>LJUSNARSBERG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46230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20673-2025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45776</v>
      </c>
      <c r="E196" s="1" t="n">
        <v>46230</v>
      </c>
      <c r="F196" t="inlineStr">
        <is>
          <t>ÖREBRO LÄN</t>
        </is>
      </c>
      <c r="G196" t="inlineStr">
        <is>
          <t>LJUSNARSBERG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46230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46230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46230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46230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30935-2025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45832</v>
      </c>
      <c r="E201" s="1" t="n">
        <v>46230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46230</v>
      </c>
      <c r="F202" t="inlineStr">
        <is>
          <t>ÖREBRO LÄN</t>
        </is>
      </c>
      <c r="G202" t="inlineStr">
        <is>
          <t>LJUSNARSBERG</t>
        </is>
      </c>
      <c r="H202" t="inlineStr">
        <is>
          <t>Kyrkan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46230</v>
      </c>
      <c r="F203" t="inlineStr">
        <is>
          <t>ÖREBRO LÄN</t>
        </is>
      </c>
      <c r="G203" t="inlineStr">
        <is>
          <t>LJUSNARSBERG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46230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46230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46230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46230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46230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410-2022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44585</v>
      </c>
      <c r="E209" s="1" t="n">
        <v>46230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36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4521-2023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45275</v>
      </c>
      <c r="E210" s="1" t="n">
        <v>46230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1099-2022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44615</v>
      </c>
      <c r="E211" s="1" t="n">
        <v>46230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147.4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7277-2021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44467</v>
      </c>
      <c r="E212" s="1" t="n">
        <v>46230</v>
      </c>
      <c r="F212" t="inlineStr">
        <is>
          <t>ÖREBRO LÄN</t>
        </is>
      </c>
      <c r="G212" t="inlineStr">
        <is>
          <t>LJUSNARSBERG</t>
        </is>
      </c>
      <c r="H212" t="inlineStr">
        <is>
          <t>Kommuner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2836-2023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45167</v>
      </c>
      <c r="E213" s="1" t="n">
        <v>46230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707-2025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45720</v>
      </c>
      <c r="E214" s="1" t="n">
        <v>46230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1972-2025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45832</v>
      </c>
      <c r="E215" s="1" t="n">
        <v>46230</v>
      </c>
      <c r="F215" t="inlineStr">
        <is>
          <t>ÖREBRO LÄN</t>
        </is>
      </c>
      <c r="G215" t="inlineStr">
        <is>
          <t>LJUSNARSBERG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3578-2025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46010</v>
      </c>
      <c r="E216" s="1" t="n">
        <v>46230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603-2026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46085</v>
      </c>
      <c r="E217" s="1" t="n">
        <v>46230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125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1743-2026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46185</v>
      </c>
      <c r="E218" s="1" t="n">
        <v>46230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1624-2026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46174</v>
      </c>
      <c r="E219" s="1" t="n">
        <v>46230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23.6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2026-07-27T01:49:16Z</dcterms:created>
  <dcterms:modified xmlns:dcterms="http://purl.org/dc/terms/" xmlns:xsi="http://www.w3.org/2001/XMLSchema-instance" xsi:type="dcterms:W3CDTF">2026-07-27T01:49:16Z</dcterms:modified>
</cp:coreProperties>
</file>