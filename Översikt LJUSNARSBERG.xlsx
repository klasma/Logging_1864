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46308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46308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24352-2026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46167</v>
      </c>
      <c r="E7" s="1" t="n">
        <v>46308</v>
      </c>
      <c r="F7" t="inlineStr">
        <is>
          <t>ÖREBRO LÄN</t>
        </is>
      </c>
      <c r="G7" t="inlineStr">
        <is>
          <t>LJUSNARSBERG</t>
        </is>
      </c>
      <c r="I7" t="n">
        <v>2.9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11</v>
      </c>
      <c r="U7" t="n">
        <v>11</v>
      </c>
      <c r="V7" s="2" t="inlineStr">
        <is>
          <t>Thomsons trägnagare
Vågbandad barkbock
Spillkråka
Tjäder
Fläcknycklar</t>
        </is>
      </c>
      <c r="W7">
        <f>HYPERLINK("https://klasma.github.io/Logging_1864/artfynd/A 24352-2026 artfynd.xlsx", "A 24352-2026")</f>
        <v/>
      </c>
      <c r="X7">
        <f>HYPERLINK("https://klasma.github.io/Logging_1864/kartor/A 24352-2026 karta.png", "A 24352-2026")</f>
        <v/>
      </c>
      <c r="Y7">
        <f>HYPERLINK("https://klasma.github.io/Logging_1864/kartor_geotiff/A 24352-2026 georefererad karta.tif", "A 24352-2026")</f>
        <v/>
      </c>
      <c r="AA7">
        <f>HYPERLINK("https://klasma.github.io/Logging_1864/klagomål/A 24352-2026 FSC-klagomål.docx", "A 24352-2026")</f>
        <v/>
      </c>
      <c r="AB7">
        <f>HYPERLINK("https://klasma.github.io/Logging_1864/klagomålsmail/A 24352-2026 FSC-klagomål mail.docx", "A 24352-2026")</f>
        <v/>
      </c>
      <c r="AC7">
        <f>HYPERLINK("https://klasma.github.io/Logging_1864/tillsyn/A 24352-2026 tillsynsbegäran.docx", "A 24352-2026")</f>
        <v/>
      </c>
      <c r="AD7">
        <f>HYPERLINK("https://klasma.github.io/Logging_1864/tillsynsmail/A 24352-2026 tillsynsbegäran mail.docx", "A 24352-2026")</f>
        <v/>
      </c>
      <c r="AE7">
        <f>HYPERLINK("https://klasma.github.io/Logging_1864/fåglar/A 24352-2026 prioriterade fågelarter.docx", "A 24352-2026")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46308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46308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46308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46308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46308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46308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46308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46308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45536-2024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45578</v>
      </c>
      <c r="E16" s="1" t="n">
        <v>46308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Tvåblad
Fläcknycklar</t>
        </is>
      </c>
      <c r="W16">
        <f>HYPERLINK("https://klasma.github.io/Logging_1864/artfynd/A 45536-2024 artfynd.xlsx", "A 45536-2024")</f>
        <v/>
      </c>
      <c r="X16">
        <f>HYPERLINK("https://klasma.github.io/Logging_1864/kartor/A 45536-2024 karta.png", "A 45536-2024")</f>
        <v/>
      </c>
      <c r="Y16">
        <f>HYPERLINK("https://klasma.github.io/Logging_1864/kartor_geotiff/A 45536-2024 georefererad karta.tif", "A 45536-2024")</f>
        <v/>
      </c>
      <c r="AA16">
        <f>HYPERLINK("https://klasma.github.io/Logging_1864/klagomål/A 45536-2024 FSC-klagomål.docx", "A 45536-2024")</f>
        <v/>
      </c>
      <c r="AB16">
        <f>HYPERLINK("https://klasma.github.io/Logging_1864/klagomålsmail/A 45536-2024 FSC-klagomål mail.docx", "A 45536-2024")</f>
        <v/>
      </c>
      <c r="AC16">
        <f>HYPERLINK("https://klasma.github.io/Logging_1864/tillsyn/A 45536-2024 tillsynsbegäran.docx", "A 45536-2024")</f>
        <v/>
      </c>
      <c r="AD16">
        <f>HYPERLINK("https://klasma.github.io/Logging_1864/tillsynsmail/A 45536-2024 tillsynsbegäran mail.docx", "A 45536-2024")</f>
        <v/>
      </c>
    </row>
    <row r="17" ht="15" customHeight="1">
      <c r="A17" t="inlineStr">
        <is>
          <t>A 24374-2026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46308</v>
      </c>
      <c r="F17" t="inlineStr">
        <is>
          <t>ÖREBRO LÄN</t>
        </is>
      </c>
      <c r="G17" t="inlineStr">
        <is>
          <t>LJUSNARSBERG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Vågbandad barkbock
Fläcknycklar</t>
        </is>
      </c>
      <c r="W17">
        <f>HYPERLINK("https://klasma.github.io/Logging_1864/artfynd/A 24374-2026 artfynd.xlsx", "A 24374-2026")</f>
        <v/>
      </c>
      <c r="X17">
        <f>HYPERLINK("https://klasma.github.io/Logging_1864/kartor/A 24374-2026 karta.png", "A 24374-2026")</f>
        <v/>
      </c>
      <c r="Y17">
        <f>HYPERLINK("https://klasma.github.io/Logging_1864/kartor_geotiff/A 24374-2026 georefererad karta.tif", "A 24374-2026")</f>
        <v/>
      </c>
      <c r="AA17">
        <f>HYPERLINK("https://klasma.github.io/Logging_1864/klagomål/A 24374-2026 FSC-klagomål.docx", "A 24374-2026")</f>
        <v/>
      </c>
      <c r="AB17">
        <f>HYPERLINK("https://klasma.github.io/Logging_1864/klagomålsmail/A 24374-2026 FSC-klagomål mail.docx", "A 24374-2026")</f>
        <v/>
      </c>
      <c r="AC17">
        <f>HYPERLINK("https://klasma.github.io/Logging_1864/tillsyn/A 24374-2026 tillsynsbegäran.docx", "A 24374-2026")</f>
        <v/>
      </c>
      <c r="AD17">
        <f>HYPERLINK("https://klasma.github.io/Logging_1864/tillsynsmail/A 24374-2026 tillsynsbegäran mail.docx", "A 24374-2026")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46308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46308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Rödgul trumpetsvamp
Skogshakmossa</t>
        </is>
      </c>
      <c r="W19">
        <f>HYPERLINK("https://klasma.github.io/Logging_1864/artfynd/A 49157-2023 artfynd.xlsx", "A 49157-2023")</f>
        <v/>
      </c>
      <c r="X19">
        <f>HYPERLINK("https://klasma.github.io/Logging_1864/kartor/A 49157-2023 karta.png", "A 49157-2023")</f>
        <v/>
      </c>
      <c r="Y19">
        <f>HYPERLINK("https://klasma.github.io/Logging_1864/kartor_geotiff/A 49157-2023 georefererad karta.tif", "A 49157-2023")</f>
        <v/>
      </c>
      <c r="AA19">
        <f>HYPERLINK("https://klasma.github.io/Logging_1864/klagomål/A 49157-2023 FSC-klagomål.docx", "A 49157-2023")</f>
        <v/>
      </c>
      <c r="AB19">
        <f>HYPERLINK("https://klasma.github.io/Logging_1864/klagomålsmail/A 49157-2023 FSC-klagomål mail.docx", "A 49157-2023")</f>
        <v/>
      </c>
      <c r="AC19">
        <f>HYPERLINK("https://klasma.github.io/Logging_1864/tillsyn/A 49157-2023 tillsynsbegäran.docx", "A 49157-2023")</f>
        <v/>
      </c>
      <c r="AD19">
        <f>HYPERLINK("https://klasma.github.io/Logging_1864/tillsynsmail/A 49157-2023 tillsynsbegäran mail.docx", "A 49157-2023")</f>
        <v/>
      </c>
    </row>
    <row r="20" ht="15" customHeight="1">
      <c r="A20" t="inlineStr">
        <is>
          <t>A 62105-2022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44920</v>
      </c>
      <c r="E20" s="1" t="n">
        <v>46308</v>
      </c>
      <c r="F20" t="inlineStr">
        <is>
          <t>ÖREBRO LÄN</t>
        </is>
      </c>
      <c r="G20" t="inlineStr">
        <is>
          <t>LJUSNARSBERG</t>
        </is>
      </c>
      <c r="I20" t="n">
        <v>5.7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7</v>
      </c>
      <c r="V20" s="2" t="inlineStr">
        <is>
          <t>Spillkråka
Kungsfågel</t>
        </is>
      </c>
      <c r="W20">
        <f>HYPERLINK("https://klasma.github.io/Logging_1864/artfynd/A 62105-2022 artfynd.xlsx", "A 62105-2022")</f>
        <v/>
      </c>
      <c r="X20">
        <f>HYPERLINK("https://klasma.github.io/Logging_1864/kartor/A 62105-2022 karta.png", "A 62105-2022")</f>
        <v/>
      </c>
      <c r="Y20">
        <f>HYPERLINK("https://klasma.github.io/Logging_1864/kartor_geotiff/A 62105-2022 georefererad karta.tif", "A 62105-2022")</f>
        <v/>
      </c>
      <c r="AA20">
        <f>HYPERLINK("https://klasma.github.io/Logging_1864/klagomål/A 62105-2022 FSC-klagomål.docx", "A 62105-2022")</f>
        <v/>
      </c>
      <c r="AB20">
        <f>HYPERLINK("https://klasma.github.io/Logging_1864/klagomålsmail/A 62105-2022 FSC-klagomål mail.docx", "A 62105-2022")</f>
        <v/>
      </c>
      <c r="AC20">
        <f>HYPERLINK("https://klasma.github.io/Logging_1864/tillsyn/A 62105-2022 tillsynsbegäran.docx", "A 62105-2022")</f>
        <v/>
      </c>
      <c r="AD20">
        <f>HYPERLINK("https://klasma.github.io/Logging_1864/tillsynsmail/A 62105-2022 tillsynsbegäran mail.docx", "A 62105-2022")</f>
        <v/>
      </c>
      <c r="AE20">
        <f>HYPERLINK("https://klasma.github.io/Logging_1864/fåglar/A 62105-2022 prioriterade fågelarter.docx", "A 62105-2022")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46308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39095-2022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44817</v>
      </c>
      <c r="E22" s="1" t="n">
        <v>46308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Mattlummer</t>
        </is>
      </c>
      <c r="W22">
        <f>HYPERLINK("https://klasma.github.io/Logging_1864/artfynd/A 39095-2022 artfynd.xlsx", "A 39095-2022")</f>
        <v/>
      </c>
      <c r="X22">
        <f>HYPERLINK("https://klasma.github.io/Logging_1864/kartor/A 39095-2022 karta.png", "A 39095-2022")</f>
        <v/>
      </c>
      <c r="Y22">
        <f>HYPERLINK("https://klasma.github.io/Logging_1864/kartor_geotiff/A 39095-2022 georefererad karta.tif", "A 39095-2022")</f>
        <v/>
      </c>
      <c r="AA22">
        <f>HYPERLINK("https://klasma.github.io/Logging_1864/klagomål/A 39095-2022 FSC-klagomål.docx", "A 39095-2022")</f>
        <v/>
      </c>
      <c r="AB22">
        <f>HYPERLINK("https://klasma.github.io/Logging_1864/klagomålsmail/A 39095-2022 FSC-klagomål mail.docx", "A 39095-2022")</f>
        <v/>
      </c>
      <c r="AC22">
        <f>HYPERLINK("https://klasma.github.io/Logging_1864/tillsyn/A 39095-2022 tillsynsbegäran.docx", "A 39095-2022")</f>
        <v/>
      </c>
      <c r="AD22">
        <f>HYPERLINK("https://klasma.github.io/Logging_1864/tillsynsmail/A 39095-2022 tillsynsbegäran mail.docx", "A 39095-2022")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46308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46308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18857-2026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46308</v>
      </c>
      <c r="F25" t="inlineStr">
        <is>
          <t>ÖREBRO LÄN</t>
        </is>
      </c>
      <c r="G25" t="inlineStr">
        <is>
          <t>LJUSNARSBERG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Trana</t>
        </is>
      </c>
      <c r="W25">
        <f>HYPERLINK("https://klasma.github.io/Logging_1864/artfynd/A 18857-2026 artfynd.xlsx", "A 18857-2026")</f>
        <v/>
      </c>
      <c r="X25">
        <f>HYPERLINK("https://klasma.github.io/Logging_1864/kartor/A 18857-2026 karta.png", "A 18857-2026")</f>
        <v/>
      </c>
      <c r="Y25">
        <f>HYPERLINK("https://klasma.github.io/Logging_1864/kartor_geotiff/A 18857-2026 georefererad karta.tif", "A 18857-2026")</f>
        <v/>
      </c>
      <c r="AA25">
        <f>HYPERLINK("https://klasma.github.io/Logging_1864/klagomål/A 18857-2026 FSC-klagomål.docx", "A 18857-2026")</f>
        <v/>
      </c>
      <c r="AB25">
        <f>HYPERLINK("https://klasma.github.io/Logging_1864/klagomålsmail/A 18857-2026 FSC-klagomål mail.docx", "A 18857-2026")</f>
        <v/>
      </c>
      <c r="AC25">
        <f>HYPERLINK("https://klasma.github.io/Logging_1864/tillsyn/A 18857-2026 tillsynsbegäran.docx", "A 18857-2026")</f>
        <v/>
      </c>
      <c r="AD25">
        <f>HYPERLINK("https://klasma.github.io/Logging_1864/tillsynsmail/A 18857-2026 tillsynsbegäran mail.docx", "A 18857-2026")</f>
        <v/>
      </c>
      <c r="AE25">
        <f>HYPERLINK("https://klasma.github.io/Logging_1864/fåglar/A 18857-2026 prioriterade fågelarter.docx", "A 18857-2026")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46308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46308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46308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46308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46308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46308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46308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46308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46308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46308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46308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46308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46308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46308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46308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46308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46308</v>
      </c>
      <c r="F42" t="inlineStr">
        <is>
          <t>ÖREBRO LÄN</t>
        </is>
      </c>
      <c r="G42" t="inlineStr">
        <is>
          <t>LJUSNARSBERG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23372-2022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44720</v>
      </c>
      <c r="E43" s="1" t="n">
        <v>46308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11.2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45895</v>
      </c>
      <c r="E44" s="1" t="n">
        <v>46308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45638</v>
      </c>
      <c r="E45" s="1" t="n">
        <v>46308</v>
      </c>
      <c r="F45" t="inlineStr">
        <is>
          <t>ÖREBRO LÄN</t>
        </is>
      </c>
      <c r="G45" t="inlineStr">
        <is>
          <t>LJUSNARSBERG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31357-2025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45832</v>
      </c>
      <c r="E46" s="1" t="n">
        <v>46308</v>
      </c>
      <c r="F46" t="inlineStr">
        <is>
          <t>ÖREBRO LÄN</t>
        </is>
      </c>
      <c r="G46" t="inlineStr">
        <is>
          <t>LJUSNARSBERG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40477-2025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46308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46308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16.6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46308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46308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46308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46308</v>
      </c>
      <c r="F52" t="inlineStr">
        <is>
          <t>ÖREBRO LÄN</t>
        </is>
      </c>
      <c r="G52" t="inlineStr">
        <is>
          <t>LJUSNARSBERG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46308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46308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44939</v>
      </c>
      <c r="E55" s="1" t="n">
        <v>46308</v>
      </c>
      <c r="F55" t="inlineStr">
        <is>
          <t>ÖREBRO LÄN</t>
        </is>
      </c>
      <c r="G55" t="inlineStr">
        <is>
          <t>LJUSNARSBERG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41383-2025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46308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46308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42287-2025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45903</v>
      </c>
      <c r="E58" s="1" t="n">
        <v>46308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25574-2023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45089</v>
      </c>
      <c r="E59" s="1" t="n">
        <v>46308</v>
      </c>
      <c r="F59" t="inlineStr">
        <is>
          <t>ÖREBRO LÄN</t>
        </is>
      </c>
      <c r="G59" t="inlineStr">
        <is>
          <t>LJUSNARSBERG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46308</v>
      </c>
      <c r="F60" t="inlineStr">
        <is>
          <t>ÖREBRO LÄN</t>
        </is>
      </c>
      <c r="G60" t="inlineStr">
        <is>
          <t>LJUSNARSBERG</t>
        </is>
      </c>
      <c r="I60" t="n">
        <v>17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46308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7903-2022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46308</v>
      </c>
      <c r="F62" t="inlineStr">
        <is>
          <t>ÖREBRO LÄN</t>
        </is>
      </c>
      <c r="G62" t="inlineStr">
        <is>
          <t>LJUSNARSBERG</t>
        </is>
      </c>
      <c r="H62" t="inlineStr">
        <is>
          <t>Kyrkan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46308</v>
      </c>
      <c r="F63" t="inlineStr">
        <is>
          <t>ÖREBRO LÄN</t>
        </is>
      </c>
      <c r="G63" t="inlineStr">
        <is>
          <t>LJUSNARSBERG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42761-2023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45177</v>
      </c>
      <c r="E64" s="1" t="n">
        <v>46308</v>
      </c>
      <c r="F64" t="inlineStr">
        <is>
          <t>ÖREBRO LÄN</t>
        </is>
      </c>
      <c r="G64" t="inlineStr">
        <is>
          <t>LJUSNARSBERG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46492-2025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46308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46308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45901</v>
      </c>
      <c r="E67" s="1" t="n">
        <v>46308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31295-2023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45103</v>
      </c>
      <c r="E68" s="1" t="n">
        <v>46308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46308</v>
      </c>
      <c r="F69" t="inlineStr">
        <is>
          <t>ÖREBRO LÄN</t>
        </is>
      </c>
      <c r="G69" t="inlineStr">
        <is>
          <t>LJUSNARSBERG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46308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48540-2025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46308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26379-2026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46183</v>
      </c>
      <c r="E72" s="1" t="n">
        <v>46308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46308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46308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45764</v>
      </c>
      <c r="E75" s="1" t="n">
        <v>46308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46185</v>
      </c>
      <c r="E76" s="1" t="n">
        <v>46308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50865-2025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45946</v>
      </c>
      <c r="E77" s="1" t="n">
        <v>46308</v>
      </c>
      <c r="F77" t="inlineStr">
        <is>
          <t>ÖREBRO LÄN</t>
        </is>
      </c>
      <c r="G77" t="inlineStr">
        <is>
          <t>LJUSNARSBERG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51693-2025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46308</v>
      </c>
      <c r="F78" t="inlineStr">
        <is>
          <t>ÖREBRO LÄN</t>
        </is>
      </c>
      <c r="G78" t="inlineStr">
        <is>
          <t>LJUSNARSBERG</t>
        </is>
      </c>
      <c r="I78" t="n">
        <v>10.8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44694</v>
      </c>
      <c r="E79" s="1" t="n">
        <v>46308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46308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31162-2023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46308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28778-2024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45478</v>
      </c>
      <c r="E82" s="1" t="n">
        <v>46308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45593</v>
      </c>
      <c r="E83" s="1" t="n">
        <v>46308</v>
      </c>
      <c r="F83" t="inlineStr">
        <is>
          <t>ÖREBRO LÄN</t>
        </is>
      </c>
      <c r="G83" t="inlineStr">
        <is>
          <t>LJUSNARSBERG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46308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46308</v>
      </c>
      <c r="F85" t="inlineStr">
        <is>
          <t>ÖREBRO LÄN</t>
        </is>
      </c>
      <c r="G85" t="inlineStr">
        <is>
          <t>LJUSNARSBERG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45980</v>
      </c>
      <c r="E86" s="1" t="n">
        <v>46308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46308</v>
      </c>
      <c r="F87" t="inlineStr">
        <is>
          <t>ÖREBRO LÄN</t>
        </is>
      </c>
      <c r="G87" t="inlineStr">
        <is>
          <t>LJUSNARSBERG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46308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45142</v>
      </c>
      <c r="E89" s="1" t="n">
        <v>46308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46308</v>
      </c>
      <c r="F90" t="inlineStr">
        <is>
          <t>ÖREBRO LÄN</t>
        </is>
      </c>
      <c r="G90" t="inlineStr">
        <is>
          <t>LJUSNARSBERG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46308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46308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62810-2021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46308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46308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46805-2024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46308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17923-2024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45419</v>
      </c>
      <c r="E96" s="1" t="n">
        <v>46308</v>
      </c>
      <c r="F96" t="inlineStr">
        <is>
          <t>ÖREBRO LÄN</t>
        </is>
      </c>
      <c r="G96" t="inlineStr">
        <is>
          <t>LJUSNARSBERG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45419</v>
      </c>
      <c r="E97" s="1" t="n">
        <v>46308</v>
      </c>
      <c r="F97" t="inlineStr">
        <is>
          <t>ÖREBRO LÄN</t>
        </is>
      </c>
      <c r="G97" t="inlineStr">
        <is>
          <t>LJUSNARSBERG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24319-2026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46167</v>
      </c>
      <c r="E98" s="1" t="n">
        <v>46308</v>
      </c>
      <c r="F98" t="inlineStr">
        <is>
          <t>ÖREBRO LÄN</t>
        </is>
      </c>
      <c r="G98" t="inlineStr">
        <is>
          <t>LJUSNARSBERG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46308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36771-2026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46272</v>
      </c>
      <c r="E100" s="1" t="n">
        <v>46308</v>
      </c>
      <c r="F100" t="inlineStr">
        <is>
          <t>ÖREBRO LÄN</t>
        </is>
      </c>
      <c r="G100" t="inlineStr">
        <is>
          <t>LJUSNARSBERG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20673-2025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45776</v>
      </c>
      <c r="E101" s="1" t="n">
        <v>46308</v>
      </c>
      <c r="F101" t="inlineStr">
        <is>
          <t>ÖREBRO LÄN</t>
        </is>
      </c>
      <c r="G101" t="inlineStr">
        <is>
          <t>LJUSNARSBERG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46308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46272</v>
      </c>
      <c r="E103" s="1" t="n">
        <v>46308</v>
      </c>
      <c r="F103" t="inlineStr">
        <is>
          <t>ÖREBRO LÄN</t>
        </is>
      </c>
      <c r="G103" t="inlineStr">
        <is>
          <t>LJUSNARSBERG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37438-2026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46275</v>
      </c>
      <c r="E104" s="1" t="n">
        <v>46308</v>
      </c>
      <c r="F104" t="inlineStr">
        <is>
          <t>ÖREBRO LÄN</t>
        </is>
      </c>
      <c r="G104" t="inlineStr">
        <is>
          <t>LJUSNARSBERG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62843-2021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46308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15114-2024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45399</v>
      </c>
      <c r="E106" s="1" t="n">
        <v>46308</v>
      </c>
      <c r="F106" t="inlineStr">
        <is>
          <t>ÖREBRO LÄN</t>
        </is>
      </c>
      <c r="G106" t="inlineStr">
        <is>
          <t>LJUSNARSBERG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46308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46013</v>
      </c>
      <c r="E108" s="1" t="n">
        <v>46308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37866-2026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46279</v>
      </c>
      <c r="E109" s="1" t="n">
        <v>46308</v>
      </c>
      <c r="F109" t="inlineStr">
        <is>
          <t>ÖREBRO LÄN</t>
        </is>
      </c>
      <c r="G109" t="inlineStr">
        <is>
          <t>LJUSNARSBERG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46308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46308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46308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46308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46281</v>
      </c>
      <c r="E114" s="1" t="n">
        <v>46308</v>
      </c>
      <c r="F114" t="inlineStr">
        <is>
          <t>ÖREBRO LÄN</t>
        </is>
      </c>
      <c r="G114" t="inlineStr">
        <is>
          <t>LJUSNARSBERG</t>
        </is>
      </c>
      <c r="H114" t="inlineStr">
        <is>
          <t>Kyrkan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46308</v>
      </c>
      <c r="F115" t="inlineStr">
        <is>
          <t>ÖREBRO LÄN</t>
        </is>
      </c>
      <c r="G115" t="inlineStr">
        <is>
          <t>LJUSNARSBERG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46282</v>
      </c>
      <c r="E116" s="1" t="n">
        <v>46308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33622-2025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46308</v>
      </c>
      <c r="F117" t="inlineStr">
        <is>
          <t>ÖREBRO LÄN</t>
        </is>
      </c>
      <c r="G117" t="inlineStr">
        <is>
          <t>LJUSNARSBERG</t>
        </is>
      </c>
      <c r="H117" t="inlineStr">
        <is>
          <t>Kyrkan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45659</v>
      </c>
      <c r="E118" s="1" t="n">
        <v>46308</v>
      </c>
      <c r="F118" t="inlineStr">
        <is>
          <t>ÖREBRO LÄN</t>
        </is>
      </c>
      <c r="G118" t="inlineStr">
        <is>
          <t>LJUSNARSBERG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46246</v>
      </c>
      <c r="E119" s="1" t="n">
        <v>46308</v>
      </c>
      <c r="F119" t="inlineStr">
        <is>
          <t>ÖREBRO LÄN</t>
        </is>
      </c>
      <c r="G119" t="inlineStr">
        <is>
          <t>LJUSNARSBERG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46308</v>
      </c>
      <c r="F120" t="inlineStr">
        <is>
          <t>ÖREBRO LÄN</t>
        </is>
      </c>
      <c r="G120" t="inlineStr">
        <is>
          <t>LJUSNARSBERG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44999</v>
      </c>
      <c r="E121" s="1" t="n">
        <v>46308</v>
      </c>
      <c r="F121" t="inlineStr">
        <is>
          <t>ÖREBRO LÄN</t>
        </is>
      </c>
      <c r="G121" t="inlineStr">
        <is>
          <t>LJUSNARSBERG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33488-2026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46247</v>
      </c>
      <c r="E122" s="1" t="n">
        <v>46308</v>
      </c>
      <c r="F122" t="inlineStr">
        <is>
          <t>ÖREBRO LÄN</t>
        </is>
      </c>
      <c r="G122" t="inlineStr">
        <is>
          <t>LJUSNARSBERG</t>
        </is>
      </c>
      <c r="H122" t="inlineStr">
        <is>
          <t>Kyrkan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46290</v>
      </c>
      <c r="E123" s="1" t="n">
        <v>46308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46308</v>
      </c>
      <c r="F124" t="inlineStr">
        <is>
          <t>ÖREBRO LÄN</t>
        </is>
      </c>
      <c r="G124" t="inlineStr">
        <is>
          <t>LJUSNARSBERG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46294</v>
      </c>
      <c r="E125" s="1" t="n">
        <v>46308</v>
      </c>
      <c r="F125" t="inlineStr">
        <is>
          <t>ÖREBRO LÄN</t>
        </is>
      </c>
      <c r="G125" t="inlineStr">
        <is>
          <t>LJUSNARSBERG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33753-2026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46308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46308</v>
      </c>
      <c r="F127" t="inlineStr">
        <is>
          <t>ÖREBRO LÄN</t>
        </is>
      </c>
      <c r="G127" t="inlineStr">
        <is>
          <t>LJUSNARSBERG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41478-2026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46300</v>
      </c>
      <c r="E128" s="1" t="n">
        <v>46308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45124</v>
      </c>
      <c r="E129" s="1" t="n">
        <v>46308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46308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41490-2026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46300</v>
      </c>
      <c r="E131" s="1" t="n">
        <v>46308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46308</v>
      </c>
      <c r="F132" t="inlineStr">
        <is>
          <t>ÖREBRO LÄN</t>
        </is>
      </c>
      <c r="G132" t="inlineStr">
        <is>
          <t>LJUSNARSBERG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45574</v>
      </c>
      <c r="E133" s="1" t="n">
        <v>46308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41550-2026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46301</v>
      </c>
      <c r="E134" s="1" t="n">
        <v>46308</v>
      </c>
      <c r="F134" t="inlineStr">
        <is>
          <t>ÖREBRO LÄN</t>
        </is>
      </c>
      <c r="G134" t="inlineStr">
        <is>
          <t>LJUSNARSBERG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46300</v>
      </c>
      <c r="E135" s="1" t="n">
        <v>46308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41471-2026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46300</v>
      </c>
      <c r="E136" s="1" t="n">
        <v>46308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46301</v>
      </c>
      <c r="E137" s="1" t="n">
        <v>46308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41491-2026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46300</v>
      </c>
      <c r="E138" s="1" t="n">
        <v>46308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46133</v>
      </c>
      <c r="E139" s="1" t="n">
        <v>46308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46308</v>
      </c>
      <c r="F140" t="inlineStr">
        <is>
          <t>ÖREBRO LÄN</t>
        </is>
      </c>
      <c r="G140" t="inlineStr">
        <is>
          <t>LJUSNARSBERG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46307</v>
      </c>
      <c r="E141" s="1" t="n">
        <v>46308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36108-2024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46308</v>
      </c>
      <c r="F142" t="inlineStr">
        <is>
          <t>ÖREBRO LÄN</t>
        </is>
      </c>
      <c r="G142" t="inlineStr">
        <is>
          <t>LJUSNARSBERG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46308</v>
      </c>
      <c r="F143" t="inlineStr">
        <is>
          <t>ÖREBRO LÄN</t>
        </is>
      </c>
      <c r="G143" t="inlineStr">
        <is>
          <t>LJUSNARSBERG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45155</v>
      </c>
      <c r="E144" s="1" t="n">
        <v>46308</v>
      </c>
      <c r="F144" t="inlineStr">
        <is>
          <t>ÖREBRO LÄN</t>
        </is>
      </c>
      <c r="G144" t="inlineStr">
        <is>
          <t>LJUSNARSBERG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46308</v>
      </c>
      <c r="F145" t="inlineStr">
        <is>
          <t>ÖREBRO LÄN</t>
        </is>
      </c>
      <c r="G145" t="inlineStr">
        <is>
          <t>LJUSNARSBERG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22887-2024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45448</v>
      </c>
      <c r="E146" s="1" t="n">
        <v>46308</v>
      </c>
      <c r="F146" t="inlineStr">
        <is>
          <t>ÖREBRO LÄN</t>
        </is>
      </c>
      <c r="G146" t="inlineStr">
        <is>
          <t>LJUSNARSBERG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46308</v>
      </c>
      <c r="F147" t="inlineStr">
        <is>
          <t>ÖREBRO LÄN</t>
        </is>
      </c>
      <c r="G147" t="inlineStr">
        <is>
          <t>LJUSNARSBERG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46308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46308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46308</v>
      </c>
      <c r="F150" t="inlineStr">
        <is>
          <t>ÖREBRO LÄN</t>
        </is>
      </c>
      <c r="G150" t="inlineStr">
        <is>
          <t>LJUSNARSBERG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46308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46146</v>
      </c>
      <c r="E152" s="1" t="n">
        <v>46308</v>
      </c>
      <c r="F152" t="inlineStr">
        <is>
          <t>ÖREBRO LÄN</t>
        </is>
      </c>
      <c r="G152" t="inlineStr">
        <is>
          <t>LJUSNARSBERG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46308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46146</v>
      </c>
      <c r="E154" s="1" t="n">
        <v>46308</v>
      </c>
      <c r="F154" t="inlineStr">
        <is>
          <t>ÖREBRO LÄN</t>
        </is>
      </c>
      <c r="G154" t="inlineStr">
        <is>
          <t>LJUSNARSBERG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44858</v>
      </c>
      <c r="E155" s="1" t="n">
        <v>46308</v>
      </c>
      <c r="F155" t="inlineStr">
        <is>
          <t>ÖREBRO LÄN</t>
        </is>
      </c>
      <c r="G155" t="inlineStr">
        <is>
          <t>LJUSNARSBERG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46308</v>
      </c>
      <c r="F156" t="inlineStr">
        <is>
          <t>ÖREBRO LÄN</t>
        </is>
      </c>
      <c r="G156" t="inlineStr">
        <is>
          <t>LJUSNARSBERG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57129-2021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46308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46308</v>
      </c>
      <c r="F158" t="inlineStr">
        <is>
          <t>ÖREBRO LÄN</t>
        </is>
      </c>
      <c r="G158" t="inlineStr">
        <is>
          <t>LJUSNARSBERG</t>
        </is>
      </c>
      <c r="I158" t="n">
        <v>14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46308</v>
      </c>
      <c r="F159" t="inlineStr">
        <is>
          <t>ÖREBRO LÄN</t>
        </is>
      </c>
      <c r="G159" t="inlineStr">
        <is>
          <t>LJUSNARSBERG</t>
        </is>
      </c>
      <c r="H159" t="inlineStr">
        <is>
          <t>Kommuner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46308</v>
      </c>
      <c r="F160" t="inlineStr">
        <is>
          <t>ÖREBRO LÄN</t>
        </is>
      </c>
      <c r="G160" t="inlineStr">
        <is>
          <t>LJUSNARSBERG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46308</v>
      </c>
      <c r="F161" t="inlineStr">
        <is>
          <t>ÖREBRO LÄN</t>
        </is>
      </c>
      <c r="G161" t="inlineStr">
        <is>
          <t>LJUSNARSBERG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46308</v>
      </c>
      <c r="F162" t="inlineStr">
        <is>
          <t>ÖREBRO LÄN</t>
        </is>
      </c>
      <c r="G162" t="inlineStr">
        <is>
          <t>LJUSNARSBERG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46308</v>
      </c>
      <c r="F163" t="inlineStr">
        <is>
          <t>ÖREBRO LÄN</t>
        </is>
      </c>
      <c r="G163" t="inlineStr">
        <is>
          <t>LJUSNARSBERG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46167</v>
      </c>
      <c r="E164" s="1" t="n">
        <v>46308</v>
      </c>
      <c r="F164" t="inlineStr">
        <is>
          <t>ÖREBRO LÄN</t>
        </is>
      </c>
      <c r="G164" t="inlineStr">
        <is>
          <t>LJUSNARSBERG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46167</v>
      </c>
      <c r="E165" s="1" t="n">
        <v>46308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46308</v>
      </c>
      <c r="F166" t="inlineStr">
        <is>
          <t>ÖREBRO LÄN</t>
        </is>
      </c>
      <c r="G166" t="inlineStr">
        <is>
          <t>LJUSNARSBERG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45085</v>
      </c>
      <c r="E167" s="1" t="n">
        <v>46308</v>
      </c>
      <c r="F167" t="inlineStr">
        <is>
          <t>ÖREBRO LÄN</t>
        </is>
      </c>
      <c r="G167" t="inlineStr">
        <is>
          <t>LJUSNARSBERG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46308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59497-2024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45638</v>
      </c>
      <c r="E169" s="1" t="n">
        <v>46308</v>
      </c>
      <c r="F169" t="inlineStr">
        <is>
          <t>ÖREBRO LÄN</t>
        </is>
      </c>
      <c r="G169" t="inlineStr">
        <is>
          <t>LJUSNARSBERG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45124</v>
      </c>
      <c r="E170" s="1" t="n">
        <v>46308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46308</v>
      </c>
      <c r="F171" t="inlineStr">
        <is>
          <t>ÖREBRO LÄN</t>
        </is>
      </c>
      <c r="G171" t="inlineStr">
        <is>
          <t>LJUSNARSBERG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59495-2024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45638</v>
      </c>
      <c r="E172" s="1" t="n">
        <v>46308</v>
      </c>
      <c r="F172" t="inlineStr">
        <is>
          <t>ÖREBRO LÄN</t>
        </is>
      </c>
      <c r="G172" t="inlineStr">
        <is>
          <t>LJUSNARSBERG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44847</v>
      </c>
      <c r="E173" s="1" t="n">
        <v>46308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46308</v>
      </c>
      <c r="F174" t="inlineStr">
        <is>
          <t>ÖREBRO LÄN</t>
        </is>
      </c>
      <c r="G174" t="inlineStr">
        <is>
          <t>LJUSNARSBERG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46308</v>
      </c>
      <c r="F175" t="inlineStr">
        <is>
          <t>ÖREBRO LÄN</t>
        </is>
      </c>
      <c r="G175" t="inlineStr">
        <is>
          <t>LJUSNARSBERG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46308</v>
      </c>
      <c r="F176" t="inlineStr">
        <is>
          <t>ÖREBRO LÄN</t>
        </is>
      </c>
      <c r="G176" t="inlineStr">
        <is>
          <t>LJUSNARSBERG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45581</v>
      </c>
      <c r="E177" s="1" t="n">
        <v>46308</v>
      </c>
      <c r="F177" t="inlineStr">
        <is>
          <t>ÖREBRO LÄN</t>
        </is>
      </c>
      <c r="G177" t="inlineStr">
        <is>
          <t>LJUSNARSBERG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44564</v>
      </c>
      <c r="E178" s="1" t="n">
        <v>46308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44790</v>
      </c>
      <c r="E179" s="1" t="n">
        <v>46308</v>
      </c>
      <c r="F179" t="inlineStr">
        <is>
          <t>ÖREBRO LÄN</t>
        </is>
      </c>
      <c r="G179" t="inlineStr">
        <is>
          <t>LJUSNARSBERG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45217</v>
      </c>
      <c r="E180" s="1" t="n">
        <v>46308</v>
      </c>
      <c r="F180" t="inlineStr">
        <is>
          <t>ÖREBRO LÄN</t>
        </is>
      </c>
      <c r="G180" t="inlineStr">
        <is>
          <t>LJUSNARSBERG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46308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62667-2022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46308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44999</v>
      </c>
      <c r="E183" s="1" t="n">
        <v>46308</v>
      </c>
      <c r="F183" t="inlineStr">
        <is>
          <t>ÖREBRO LÄN</t>
        </is>
      </c>
      <c r="G183" t="inlineStr">
        <is>
          <t>LJUSNARSBERG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46308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46308</v>
      </c>
      <c r="F185" t="inlineStr">
        <is>
          <t>ÖREBRO LÄN</t>
        </is>
      </c>
      <c r="G185" t="inlineStr">
        <is>
          <t>LJUSNARSBERG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45239</v>
      </c>
      <c r="E186" s="1" t="n">
        <v>46308</v>
      </c>
      <c r="F186" t="inlineStr">
        <is>
          <t>ÖREBRO LÄN</t>
        </is>
      </c>
      <c r="G186" t="inlineStr">
        <is>
          <t>LJUSNARSBERG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18938-2022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44690</v>
      </c>
      <c r="E187" s="1" t="n">
        <v>46308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44903</v>
      </c>
      <c r="E188" s="1" t="n">
        <v>46308</v>
      </c>
      <c r="F188" t="inlineStr">
        <is>
          <t>ÖREBRO LÄN</t>
        </is>
      </c>
      <c r="G188" t="inlineStr">
        <is>
          <t>LJUSNARSBERG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46308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45578</v>
      </c>
      <c r="E190" s="1" t="n">
        <v>46308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44874</v>
      </c>
      <c r="E191" s="1" t="n">
        <v>46308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45124</v>
      </c>
      <c r="E192" s="1" t="n">
        <v>46308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44690</v>
      </c>
      <c r="E193" s="1" t="n">
        <v>46308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45111</v>
      </c>
      <c r="E194" s="1" t="n">
        <v>46308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44916</v>
      </c>
      <c r="E195" s="1" t="n">
        <v>46308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45347</v>
      </c>
      <c r="E196" s="1" t="n">
        <v>46308</v>
      </c>
      <c r="F196" t="inlineStr">
        <is>
          <t>ÖREBRO LÄN</t>
        </is>
      </c>
      <c r="G196" t="inlineStr">
        <is>
          <t>LJUSNARSBERG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46308</v>
      </c>
      <c r="F197" t="inlineStr">
        <is>
          <t>ÖREBRO LÄN</t>
        </is>
      </c>
      <c r="G197" t="inlineStr">
        <is>
          <t>LJUSNARSBERG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880-2024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45376</v>
      </c>
      <c r="E198" s="1" t="n">
        <v>46308</v>
      </c>
      <c r="F198" t="inlineStr">
        <is>
          <t>ÖREBRO LÄN</t>
        </is>
      </c>
      <c r="G198" t="inlineStr">
        <is>
          <t>LJUSNARSBERG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3541-2022</t>
        </is>
      </c>
      <c r="B199" t="inlineStr">
        <is>
          <t>samrådsanmälan</t>
        </is>
      </c>
      <c r="C199" t="inlineStr">
        <is>
          <t>Skogsbilväg</t>
        </is>
      </c>
      <c r="D199" s="1" t="n">
        <v>44734</v>
      </c>
      <c r="E199" s="1" t="n">
        <v>46308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10473-2021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44559</v>
      </c>
      <c r="E200" s="1" t="n">
        <v>46308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3528-2023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45205</v>
      </c>
      <c r="E201" s="1" t="n">
        <v>46308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39.4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46308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4521-2023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45275</v>
      </c>
      <c r="E203" s="1" t="n">
        <v>46308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1099-2022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44615</v>
      </c>
      <c r="E204" s="1" t="n">
        <v>46308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147.4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2836-2023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45167</v>
      </c>
      <c r="E205" s="1" t="n">
        <v>46308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707-2025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45720</v>
      </c>
      <c r="E206" s="1" t="n">
        <v>46308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162.6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1972-2025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45832</v>
      </c>
      <c r="E207" s="1" t="n">
        <v>46308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3578-2025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46010</v>
      </c>
      <c r="E208" s="1" t="n">
        <v>46308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603-2026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46085</v>
      </c>
      <c r="E209" s="1" t="n">
        <v>46308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125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1743-2026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46185</v>
      </c>
      <c r="E210" s="1" t="n">
        <v>46308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1624-2026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46174</v>
      </c>
      <c r="E211" s="1" t="n">
        <v>46308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2322-2026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46269</v>
      </c>
      <c r="E212" s="1" t="n">
        <v>46308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67.09999999999999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2026-10-13T01:59:29Z</dcterms:created>
  <dcterms:modified xmlns:dcterms="http://purl.org/dc/terms/" xmlns:xsi="http://www.w3.org/2001/XMLSchema-instance" xsi:type="dcterms:W3CDTF">2026-10-13T01:59:29Z</dcterms:modified>
</cp:coreProperties>
</file>