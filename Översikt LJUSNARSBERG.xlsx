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46286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46286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46286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46286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46286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46286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46286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46286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46286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46286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46286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46286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46286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19940-2026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46286</v>
      </c>
      <c r="F22" t="inlineStr">
        <is>
          <t>ÖREBRO LÄN</t>
        </is>
      </c>
      <c r="G22" t="inlineStr">
        <is>
          <t>LJUSNARSBERG</t>
        </is>
      </c>
      <c r="H22" t="inlineStr">
        <is>
          <t>Sveaskog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HYPERLINK("https://klasma.github.io/Logging_1864/artfynd/A 19940-2026 artfynd.xlsx", "A 19940-2026")</f>
        <v/>
      </c>
      <c r="X22">
        <f>HYPERLINK("https://klasma.github.io/Logging_1864/kartor/A 19940-2026 karta.png", "A 19940-2026")</f>
        <v/>
      </c>
      <c r="Y22">
        <f>HYPERLINK("https://klasma.github.io/Logging_1864/kartor_geotiff/A 19940-2026 georefererad karta.tif", "A 19940-2026")</f>
        <v/>
      </c>
      <c r="AA22">
        <f>HYPERLINK("https://klasma.github.io/Logging_1864/klagomål/A 19940-2026 FSC-klagomål.docx", "A 19940-2026")</f>
        <v/>
      </c>
      <c r="AB22">
        <f>HYPERLINK("https://klasma.github.io/Logging_1864/klagomålsmail/A 19940-2026 FSC-klagomål mail.docx", "A 19940-2026")</f>
        <v/>
      </c>
      <c r="AC22">
        <f>HYPERLINK("https://klasma.github.io/Logging_1864/tillsyn/A 19940-2026 tillsynsbegäran.docx", "A 19940-2026")</f>
        <v/>
      </c>
      <c r="AD22">
        <f>HYPERLINK("https://klasma.github.io/Logging_1864/tillsynsmail/A 19940-2026 tillsynsbegäran mail.docx", "A 19940-2026")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46286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46286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46286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46286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46286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46286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46286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46286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46286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46286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46286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46286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46286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46286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46286</v>
      </c>
      <c r="F38" t="inlineStr">
        <is>
          <t>ÖREBRO LÄN</t>
        </is>
      </c>
      <c r="G38" t="inlineStr">
        <is>
          <t>LJUSNARSBERG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46286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46286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46286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46286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46286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46286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46286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46286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46286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46286</v>
      </c>
      <c r="F48" t="inlineStr">
        <is>
          <t>ÖREBRO LÄN</t>
        </is>
      </c>
      <c r="G48" t="inlineStr">
        <is>
          <t>LJUSNARSBERG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46286</v>
      </c>
      <c r="F49" t="inlineStr">
        <is>
          <t>ÖREBRO LÄN</t>
        </is>
      </c>
      <c r="G49" t="inlineStr">
        <is>
          <t>LJUSNARSBERG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46286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61794-2024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46286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46286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46286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46286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46286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46286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46286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46286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46286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46286</v>
      </c>
      <c r="F60" t="inlineStr">
        <is>
          <t>ÖREBRO LÄN</t>
        </is>
      </c>
      <c r="G60" t="inlineStr">
        <is>
          <t>LJUSNARSBERG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46286</v>
      </c>
      <c r="F61" t="inlineStr">
        <is>
          <t>ÖREBRO LÄN</t>
        </is>
      </c>
      <c r="G61" t="inlineStr">
        <is>
          <t>LJUSNARSBERG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46286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46286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46286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29721-2023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46286</v>
      </c>
      <c r="F65" t="inlineStr">
        <is>
          <t>ÖREBRO LÄN</t>
        </is>
      </c>
      <c r="G65" t="inlineStr">
        <is>
          <t>LJUSNARSBERG</t>
        </is>
      </c>
      <c r="H65" t="inlineStr">
        <is>
          <t>Sveaskog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45145</v>
      </c>
      <c r="E66" s="1" t="n">
        <v>46286</v>
      </c>
      <c r="F66" t="inlineStr">
        <is>
          <t>ÖREBRO LÄN</t>
        </is>
      </c>
      <c r="G66" t="inlineStr">
        <is>
          <t>LJUSNARSBERG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46286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46286</v>
      </c>
      <c r="F69" t="inlineStr">
        <is>
          <t>ÖREBRO LÄN</t>
        </is>
      </c>
      <c r="G69" t="inlineStr">
        <is>
          <t>LJUSNARSBERG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46286</v>
      </c>
      <c r="F71" t="inlineStr">
        <is>
          <t>ÖREBRO LÄN</t>
        </is>
      </c>
      <c r="G71" t="inlineStr">
        <is>
          <t>LJUSNARSBERG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45035</v>
      </c>
      <c r="E72" s="1" t="n">
        <v>46286</v>
      </c>
      <c r="F72" t="inlineStr">
        <is>
          <t>ÖREBRO LÄN</t>
        </is>
      </c>
      <c r="G72" t="inlineStr">
        <is>
          <t>LJUSNARSBERG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36108-2024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46286</v>
      </c>
      <c r="F73" t="inlineStr">
        <is>
          <t>ÖREBRO LÄN</t>
        </is>
      </c>
      <c r="G73" t="inlineStr">
        <is>
          <t>LJUSNARSBERG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46286</v>
      </c>
      <c r="F74" t="inlineStr">
        <is>
          <t>ÖREBRO LÄN</t>
        </is>
      </c>
      <c r="G74" t="inlineStr">
        <is>
          <t>LJUSNARSBERG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46286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46286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46286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46286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46286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46085-2024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45581</v>
      </c>
      <c r="E80" s="1" t="n">
        <v>46286</v>
      </c>
      <c r="F80" t="inlineStr">
        <is>
          <t>ÖREBRO LÄN</t>
        </is>
      </c>
      <c r="G80" t="inlineStr">
        <is>
          <t>LJUSNARSBERG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46136</v>
      </c>
      <c r="E81" s="1" t="n">
        <v>46286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46286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46286</v>
      </c>
      <c r="F83" t="inlineStr">
        <is>
          <t>ÖREBRO LÄN</t>
        </is>
      </c>
      <c r="G83" t="inlineStr">
        <is>
          <t>LJUSNARSBERG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46286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46286</v>
      </c>
      <c r="F85" t="inlineStr">
        <is>
          <t>ÖREBRO LÄN</t>
        </is>
      </c>
      <c r="G85" t="inlineStr">
        <is>
          <t>LJUSNARSBERG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46286</v>
      </c>
      <c r="F86" t="inlineStr">
        <is>
          <t>ÖREBRO LÄN</t>
        </is>
      </c>
      <c r="G86" t="inlineStr">
        <is>
          <t>LJUSNARSBERG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46286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46286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46286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27343-2025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46286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46286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46286</v>
      </c>
      <c r="F92" t="inlineStr">
        <is>
          <t>ÖREBRO LÄN</t>
        </is>
      </c>
      <c r="G92" t="inlineStr">
        <is>
          <t>LJUSNARSBERG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59497-2024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45638</v>
      </c>
      <c r="E93" s="1" t="n">
        <v>46286</v>
      </c>
      <c r="F93" t="inlineStr">
        <is>
          <t>ÖREBRO LÄN</t>
        </is>
      </c>
      <c r="G93" t="inlineStr">
        <is>
          <t>LJUSNARSBERG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46286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46286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46286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46286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46286</v>
      </c>
      <c r="F98" t="inlineStr">
        <is>
          <t>ÖREBRO LÄN</t>
        </is>
      </c>
      <c r="G98" t="inlineStr">
        <is>
          <t>LJUSNARSBERG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46286</v>
      </c>
      <c r="F99" t="inlineStr">
        <is>
          <t>ÖREBRO LÄN</t>
        </is>
      </c>
      <c r="G99" t="inlineStr">
        <is>
          <t>LJUSNARSBERG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46286</v>
      </c>
      <c r="F100" t="inlineStr">
        <is>
          <t>ÖREBRO LÄN</t>
        </is>
      </c>
      <c r="G100" t="inlineStr">
        <is>
          <t>LJUSNARSBERG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46146</v>
      </c>
      <c r="E101" s="1" t="n">
        <v>46286</v>
      </c>
      <c r="F101" t="inlineStr">
        <is>
          <t>ÖREBRO LÄN</t>
        </is>
      </c>
      <c r="G101" t="inlineStr">
        <is>
          <t>LJUSNARSBERG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46286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46286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59495-2024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45638</v>
      </c>
      <c r="E104" s="1" t="n">
        <v>46286</v>
      </c>
      <c r="F104" t="inlineStr">
        <is>
          <t>ÖREBRO LÄN</t>
        </is>
      </c>
      <c r="G104" t="inlineStr">
        <is>
          <t>LJUSNARSBERG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46286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46286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46286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46146</v>
      </c>
      <c r="E108" s="1" t="n">
        <v>46286</v>
      </c>
      <c r="F108" t="inlineStr">
        <is>
          <t>ÖREBRO LÄN</t>
        </is>
      </c>
      <c r="G108" t="inlineStr">
        <is>
          <t>LJUSNARSBERG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46286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46286</v>
      </c>
      <c r="F110" t="inlineStr">
        <is>
          <t>ÖREBRO LÄN</t>
        </is>
      </c>
      <c r="G110" t="inlineStr">
        <is>
          <t>LJUSNARSBERG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50865-2025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45946</v>
      </c>
      <c r="E111" s="1" t="n">
        <v>46286</v>
      </c>
      <c r="F111" t="inlineStr">
        <is>
          <t>ÖREBRO LÄN</t>
        </is>
      </c>
      <c r="G111" t="inlineStr">
        <is>
          <t>LJUSNARSBERG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46286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45951</v>
      </c>
      <c r="E113" s="1" t="n">
        <v>46286</v>
      </c>
      <c r="F113" t="inlineStr">
        <is>
          <t>ÖREBRO LÄN</t>
        </is>
      </c>
      <c r="G113" t="inlineStr">
        <is>
          <t>LJUSNARSBERG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44565</v>
      </c>
      <c r="E114" s="1" t="n">
        <v>46286</v>
      </c>
      <c r="F114" t="inlineStr">
        <is>
          <t>ÖREBRO LÄN</t>
        </is>
      </c>
      <c r="G114" t="inlineStr">
        <is>
          <t>LJUSNARSBERG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46286</v>
      </c>
      <c r="F115" t="inlineStr">
        <is>
          <t>ÖREBRO LÄN</t>
        </is>
      </c>
      <c r="G115" t="inlineStr">
        <is>
          <t>LJUSNARSBERG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46286</v>
      </c>
      <c r="F116" t="inlineStr">
        <is>
          <t>ÖREBRO LÄN</t>
        </is>
      </c>
      <c r="G116" t="inlineStr">
        <is>
          <t>LJUSNARSBERG</t>
        </is>
      </c>
      <c r="I116" t="n">
        <v>14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46286</v>
      </c>
      <c r="F117" t="inlineStr">
        <is>
          <t>ÖREBRO LÄN</t>
        </is>
      </c>
      <c r="G117" t="inlineStr">
        <is>
          <t>LJUSNARSBERG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46286</v>
      </c>
      <c r="F118" t="inlineStr">
        <is>
          <t>ÖREBRO LÄN</t>
        </is>
      </c>
      <c r="G118" t="inlineStr">
        <is>
          <t>LJUSNARSBERG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46286</v>
      </c>
      <c r="F119" t="inlineStr">
        <is>
          <t>ÖREBRO LÄN</t>
        </is>
      </c>
      <c r="G119" t="inlineStr">
        <is>
          <t>LJUSNARSBERG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44564</v>
      </c>
      <c r="E120" s="1" t="n">
        <v>46286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45614</v>
      </c>
      <c r="E121" s="1" t="n">
        <v>46286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46286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46286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46286</v>
      </c>
      <c r="F124" t="inlineStr">
        <is>
          <t>ÖREBRO LÄN</t>
        </is>
      </c>
      <c r="G124" t="inlineStr">
        <is>
          <t>LJUSNARSBERG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46286</v>
      </c>
      <c r="F125" t="inlineStr">
        <is>
          <t>ÖREBRO LÄN</t>
        </is>
      </c>
      <c r="G125" t="inlineStr">
        <is>
          <t>LJUSNARSBERG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46286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46286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46286</v>
      </c>
      <c r="F128" t="inlineStr">
        <is>
          <t>ÖREBRO LÄN</t>
        </is>
      </c>
      <c r="G128" t="inlineStr">
        <is>
          <t>LJUSNARSBERG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46286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46167</v>
      </c>
      <c r="E130" s="1" t="n">
        <v>46286</v>
      </c>
      <c r="F130" t="inlineStr">
        <is>
          <t>ÖREBRO LÄN</t>
        </is>
      </c>
      <c r="G130" t="inlineStr">
        <is>
          <t>LJUSNARSBERG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46286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46286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46286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44999</v>
      </c>
      <c r="E134" s="1" t="n">
        <v>46286</v>
      </c>
      <c r="F134" t="inlineStr">
        <is>
          <t>ÖREBRO LÄN</t>
        </is>
      </c>
      <c r="G134" t="inlineStr">
        <is>
          <t>LJUSNARSBERG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46286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46286</v>
      </c>
      <c r="F136" t="inlineStr">
        <is>
          <t>ÖREBRO LÄN</t>
        </is>
      </c>
      <c r="G136" t="inlineStr">
        <is>
          <t>LJUSNARSBERG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46286</v>
      </c>
      <c r="F137" t="inlineStr">
        <is>
          <t>ÖREBRO LÄN</t>
        </is>
      </c>
      <c r="G137" t="inlineStr">
        <is>
          <t>LJUSNARSBERG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46286</v>
      </c>
      <c r="F138" t="inlineStr">
        <is>
          <t>ÖREBRO LÄN</t>
        </is>
      </c>
      <c r="G138" t="inlineStr">
        <is>
          <t>LJUSNARSBERG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46286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46286</v>
      </c>
      <c r="F140" t="inlineStr">
        <is>
          <t>ÖREBRO LÄN</t>
        </is>
      </c>
      <c r="G140" t="inlineStr">
        <is>
          <t>LJUSNARSBERG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46286</v>
      </c>
      <c r="F141" t="inlineStr">
        <is>
          <t>ÖREBRO LÄN</t>
        </is>
      </c>
      <c r="G141" t="inlineStr">
        <is>
          <t>LJUSNARSBERG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46286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46286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46286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46286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46286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46286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44690</v>
      </c>
      <c r="E148" s="1" t="n">
        <v>46286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46286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46286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46286</v>
      </c>
      <c r="F151" t="inlineStr">
        <is>
          <t>ÖREBRO LÄN</t>
        </is>
      </c>
      <c r="G151" t="inlineStr">
        <is>
          <t>LJUSNARSBERG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44916</v>
      </c>
      <c r="E152" s="1" t="n">
        <v>46286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46286</v>
      </c>
      <c r="F153" t="inlineStr">
        <is>
          <t>ÖREBRO LÄN</t>
        </is>
      </c>
      <c r="G153" t="inlineStr">
        <is>
          <t>LJUSNARSBERG</t>
        </is>
      </c>
      <c r="H153" t="inlineStr">
        <is>
          <t>Kyrkan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45347</v>
      </c>
      <c r="E154" s="1" t="n">
        <v>46286</v>
      </c>
      <c r="F154" t="inlineStr">
        <is>
          <t>ÖREBRO LÄN</t>
        </is>
      </c>
      <c r="G154" t="inlineStr">
        <is>
          <t>LJUSNARSBERG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46286</v>
      </c>
      <c r="F155" t="inlineStr">
        <is>
          <t>ÖREBRO LÄN</t>
        </is>
      </c>
      <c r="G155" t="inlineStr">
        <is>
          <t>LJUSNARSBERG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46286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46286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46286</v>
      </c>
      <c r="F158" t="inlineStr">
        <is>
          <t>ÖREBRO LÄN</t>
        </is>
      </c>
      <c r="G158" t="inlineStr">
        <is>
          <t>LJUSNARSBERG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44720</v>
      </c>
      <c r="E159" s="1" t="n">
        <v>46286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46286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44939</v>
      </c>
      <c r="E161" s="1" t="n">
        <v>46286</v>
      </c>
      <c r="F161" t="inlineStr">
        <is>
          <t>ÖREBRO LÄN</t>
        </is>
      </c>
      <c r="G161" t="inlineStr">
        <is>
          <t>LJUSNARSBERG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44468</v>
      </c>
      <c r="E162" s="1" t="n">
        <v>46286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46286</v>
      </c>
      <c r="F163" t="inlineStr">
        <is>
          <t>ÖREBRO LÄN</t>
        </is>
      </c>
      <c r="G163" t="inlineStr">
        <is>
          <t>LJUSNARSBERG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45177</v>
      </c>
      <c r="E164" s="1" t="n">
        <v>46286</v>
      </c>
      <c r="F164" t="inlineStr">
        <is>
          <t>ÖREBRO LÄN</t>
        </is>
      </c>
      <c r="G164" t="inlineStr">
        <is>
          <t>LJUSNARSBERG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46286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46286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46286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46286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44694</v>
      </c>
      <c r="E169" s="1" t="n">
        <v>46286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46286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46286</v>
      </c>
      <c r="F171" t="inlineStr">
        <is>
          <t>ÖREBRO LÄN</t>
        </is>
      </c>
      <c r="G171" t="inlineStr">
        <is>
          <t>LJUSNARSBERG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46286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46272</v>
      </c>
      <c r="E173" s="1" t="n">
        <v>46286</v>
      </c>
      <c r="F173" t="inlineStr">
        <is>
          <t>ÖREBRO LÄN</t>
        </is>
      </c>
      <c r="G173" t="inlineStr">
        <is>
          <t>LJUSNARSBERG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46272</v>
      </c>
      <c r="E174" s="1" t="n">
        <v>46286</v>
      </c>
      <c r="F174" t="inlineStr">
        <is>
          <t>ÖREBRO LÄN</t>
        </is>
      </c>
      <c r="G174" t="inlineStr">
        <is>
          <t>LJUSNARSBERG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46286</v>
      </c>
      <c r="F175" t="inlineStr">
        <is>
          <t>ÖREBRO LÄN</t>
        </is>
      </c>
      <c r="G175" t="inlineStr">
        <is>
          <t>LJUSNARSBERG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46286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46286</v>
      </c>
      <c r="F177" t="inlineStr">
        <is>
          <t>ÖREBRO LÄN</t>
        </is>
      </c>
      <c r="G177" t="inlineStr">
        <is>
          <t>LJUSNARSBERG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46286</v>
      </c>
      <c r="F178" t="inlineStr">
        <is>
          <t>ÖREBRO LÄN</t>
        </is>
      </c>
      <c r="G178" t="inlineStr">
        <is>
          <t>LJUSNARSBERG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45698</v>
      </c>
      <c r="E179" s="1" t="n">
        <v>46286</v>
      </c>
      <c r="F179" t="inlineStr">
        <is>
          <t>ÖREBRO LÄN</t>
        </is>
      </c>
      <c r="G179" t="inlineStr">
        <is>
          <t>LJUSNARSBERG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46286</v>
      </c>
      <c r="F180" t="inlineStr">
        <is>
          <t>ÖREBRO LÄN</t>
        </is>
      </c>
      <c r="G180" t="inlineStr">
        <is>
          <t>LJUSNARSBERG</t>
        </is>
      </c>
      <c r="H180" t="inlineStr">
        <is>
          <t>Kyrkan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46286</v>
      </c>
      <c r="F181" t="inlineStr">
        <is>
          <t>ÖREBRO LÄN</t>
        </is>
      </c>
      <c r="G181" t="inlineStr">
        <is>
          <t>LJUSNARSBERG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46286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46286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46286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46286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46286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46286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20673-2025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45776</v>
      </c>
      <c r="E188" s="1" t="n">
        <v>46286</v>
      </c>
      <c r="F188" t="inlineStr">
        <is>
          <t>ÖREBRO LÄN</t>
        </is>
      </c>
      <c r="G188" t="inlineStr">
        <is>
          <t>LJUSNARSBERG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46286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46286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46286</v>
      </c>
      <c r="F191" t="inlineStr">
        <is>
          <t>ÖREBRO LÄN</t>
        </is>
      </c>
      <c r="G191" t="inlineStr">
        <is>
          <t>LJUSNARSBERG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46286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46286</v>
      </c>
      <c r="F193" t="inlineStr">
        <is>
          <t>ÖREBRO LÄN</t>
        </is>
      </c>
      <c r="G193" t="inlineStr">
        <is>
          <t>LJUSNARSBERG</t>
        </is>
      </c>
      <c r="H193" t="inlineStr">
        <is>
          <t>Kyrkan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46286</v>
      </c>
      <c r="F194" t="inlineStr">
        <is>
          <t>ÖREBRO LÄN</t>
        </is>
      </c>
      <c r="G194" t="inlineStr">
        <is>
          <t>LJUSNARSBERG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46286</v>
      </c>
      <c r="F195" t="inlineStr">
        <is>
          <t>ÖREBRO LÄN</t>
        </is>
      </c>
      <c r="G195" t="inlineStr">
        <is>
          <t>LJUSNARSBERG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46286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3541-2022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44734</v>
      </c>
      <c r="E197" s="1" t="n">
        <v>46286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10473-2021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44559</v>
      </c>
      <c r="E198" s="1" t="n">
        <v>46286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3528-2023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45205</v>
      </c>
      <c r="E199" s="1" t="n">
        <v>46286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7278-2021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46286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46286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46286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46286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7277-2021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46286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2836-2023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45167</v>
      </c>
      <c r="E205" s="1" t="n">
        <v>46286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707-2025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45720</v>
      </c>
      <c r="E206" s="1" t="n">
        <v>46286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1972-2025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45832</v>
      </c>
      <c r="E207" s="1" t="n">
        <v>46286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3578-2025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46010</v>
      </c>
      <c r="E208" s="1" t="n">
        <v>46286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603-2026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46085</v>
      </c>
      <c r="E209" s="1" t="n">
        <v>46286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125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1743-2026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46185</v>
      </c>
      <c r="E210" s="1" t="n">
        <v>46286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1624-2026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46174</v>
      </c>
      <c r="E211" s="1" t="n">
        <v>46286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2026-09-21T02:02:34Z</dcterms:created>
  <dcterms:modified xmlns:dcterms="http://purl.org/dc/terms/" xmlns:xsi="http://www.w3.org/2001/XMLSchema-instance" xsi:type="dcterms:W3CDTF">2026-09-21T02:02:35Z</dcterms:modified>
</cp:coreProperties>
</file>