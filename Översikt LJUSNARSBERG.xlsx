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46324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46324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46324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46324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46324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46324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46324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24352-2026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46167</v>
      </c>
      <c r="E9" s="1" t="n">
        <v>46324</v>
      </c>
      <c r="F9" t="inlineStr">
        <is>
          <t>ÖREBRO LÄN</t>
        </is>
      </c>
      <c r="G9" t="inlineStr">
        <is>
          <t>LJUSNARSBERG</t>
        </is>
      </c>
      <c r="I9" t="n">
        <v>2.9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11</v>
      </c>
      <c r="V9" s="2" t="inlineStr">
        <is>
          <t>Thomsons trägnagare
Vågbandad barkbock
Spillkråka
Tjäder
Fläcknycklar</t>
        </is>
      </c>
      <c r="W9">
        <f>HYPERLINK("https://klasma.github.io/Logging_1864/artfynd/A 24352-2026 artfynd.xlsx", "A 24352-2026")</f>
        <v/>
      </c>
      <c r="X9">
        <f>HYPERLINK("https://klasma.github.io/Logging_1864/kartor/A 24352-2026 karta.png", "A 24352-2026")</f>
        <v/>
      </c>
      <c r="Y9">
        <f>HYPERLINK("https://klasma.github.io/Logging_1864/kartor_geotiff/A 24352-2026 georefererad karta.tif", "A 24352-2026")</f>
        <v/>
      </c>
      <c r="AA9">
        <f>HYPERLINK("https://klasma.github.io/Logging_1864/klagomål/A 24352-2026 FSC-klagomål.docx", "A 24352-2026")</f>
        <v/>
      </c>
      <c r="AB9">
        <f>HYPERLINK("https://klasma.github.io/Logging_1864/klagomålsmail/A 24352-2026 FSC-klagomål mail.docx", "A 24352-2026")</f>
        <v/>
      </c>
      <c r="AC9">
        <f>HYPERLINK("https://klasma.github.io/Logging_1864/tillsyn/A 24352-2026 tillsynsbegäran.docx", "A 24352-2026")</f>
        <v/>
      </c>
      <c r="AD9">
        <f>HYPERLINK("https://klasma.github.io/Logging_1864/tillsynsmail/A 24352-2026 tillsynsbegäran mail.docx", "A 24352-2026")</f>
        <v/>
      </c>
      <c r="AE9">
        <f>HYPERLINK("https://klasma.github.io/Logging_1864/fåglar/A 24352-2026 prioriterade fågelarter.docx", "A 24352-2026")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46324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46324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46324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46324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46324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49157-2023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45210</v>
      </c>
      <c r="E15" s="1" t="n">
        <v>46324</v>
      </c>
      <c r="F15" t="inlineStr">
        <is>
          <t>ÖREBRO LÄN</t>
        </is>
      </c>
      <c r="G15" t="inlineStr">
        <is>
          <t>LJUSNARSBERG</t>
        </is>
      </c>
      <c r="I15" t="n">
        <v>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Rödgul trumpetsvamp
Skogshakmossa</t>
        </is>
      </c>
      <c r="W15">
        <f>HYPERLINK("https://klasma.github.io/Logging_1864/artfynd/A 49157-2023 artfynd.xlsx", "A 49157-2023")</f>
        <v/>
      </c>
      <c r="X15">
        <f>HYPERLINK("https://klasma.github.io/Logging_1864/kartor/A 49157-2023 karta.png", "A 49157-2023")</f>
        <v/>
      </c>
      <c r="Y15">
        <f>HYPERLINK("https://klasma.github.io/Logging_1864/kartor_geotiff/A 49157-2023 georefererad karta.tif", "A 49157-2023")</f>
        <v/>
      </c>
      <c r="AA15">
        <f>HYPERLINK("https://klasma.github.io/Logging_1864/klagomål/A 49157-2023 FSC-klagomål.docx", "A 49157-2023")</f>
        <v/>
      </c>
      <c r="AB15">
        <f>HYPERLINK("https://klasma.github.io/Logging_1864/klagomålsmail/A 49157-2023 FSC-klagomål mail.docx", "A 49157-2023")</f>
        <v/>
      </c>
      <c r="AC15">
        <f>HYPERLINK("https://klasma.github.io/Logging_1864/tillsyn/A 49157-2023 tillsynsbegäran.docx", "A 49157-2023")</f>
        <v/>
      </c>
      <c r="AD15">
        <f>HYPERLINK("https://klasma.github.io/Logging_1864/tillsynsmail/A 49157-2023 tillsynsbegäran mail.docx", "A 49157-2023")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46324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46324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45536-2024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45578</v>
      </c>
      <c r="E18" s="1" t="n">
        <v>46324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Tvåblad
Fläcknycklar</t>
        </is>
      </c>
      <c r="W18">
        <f>HYPERLINK("https://klasma.github.io/Logging_1864/artfynd/A 45536-2024 artfynd.xlsx", "A 45536-2024")</f>
        <v/>
      </c>
      <c r="X18">
        <f>HYPERLINK("https://klasma.github.io/Logging_1864/kartor/A 45536-2024 karta.png", "A 45536-2024")</f>
        <v/>
      </c>
      <c r="Y18">
        <f>HYPERLINK("https://klasma.github.io/Logging_1864/kartor_geotiff/A 45536-2024 georefererad karta.tif", "A 45536-2024")</f>
        <v/>
      </c>
      <c r="AA18">
        <f>HYPERLINK("https://klasma.github.io/Logging_1864/klagomål/A 45536-2024 FSC-klagomål.docx", "A 45536-2024")</f>
        <v/>
      </c>
      <c r="AB18">
        <f>HYPERLINK("https://klasma.github.io/Logging_1864/klagomålsmail/A 45536-2024 FSC-klagomål mail.docx", "A 45536-2024")</f>
        <v/>
      </c>
      <c r="AC18">
        <f>HYPERLINK("https://klasma.github.io/Logging_1864/tillsyn/A 45536-2024 tillsynsbegäran.docx", "A 45536-2024")</f>
        <v/>
      </c>
      <c r="AD18">
        <f>HYPERLINK("https://klasma.github.io/Logging_1864/tillsynsmail/A 45536-2024 tillsynsbegäran mail.docx", "A 45536-2024")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46324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46324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45537-2024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45578</v>
      </c>
      <c r="E21" s="1" t="n">
        <v>46324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4.3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HYPERLINK("https://klasma.github.io/Logging_1864/artfynd/A 45537-2024 artfynd.xlsx", "A 45537-2024")</f>
        <v/>
      </c>
      <c r="X21">
        <f>HYPERLINK("https://klasma.github.io/Logging_1864/kartor/A 45537-2024 karta.png", "A 45537-2024")</f>
        <v/>
      </c>
      <c r="Y21">
        <f>HYPERLINK("https://klasma.github.io/Logging_1864/kartor_geotiff/A 45537-2024 georefererad karta.tif", "A 45537-2024")</f>
        <v/>
      </c>
      <c r="AA21">
        <f>HYPERLINK("https://klasma.github.io/Logging_1864/klagomål/A 45537-2024 FSC-klagomål.docx", "A 45537-2024")</f>
        <v/>
      </c>
      <c r="AB21">
        <f>HYPERLINK("https://klasma.github.io/Logging_1864/klagomålsmail/A 45537-2024 FSC-klagomål mail.docx", "A 45537-2024")</f>
        <v/>
      </c>
      <c r="AC21">
        <f>HYPERLINK("https://klasma.github.io/Logging_1864/tillsyn/A 45537-2024 tillsynsbegäran.docx", "A 45537-2024")</f>
        <v/>
      </c>
      <c r="AD21">
        <f>HYPERLINK("https://klasma.github.io/Logging_1864/tillsynsmail/A 45537-2024 tillsynsbegäran mail.docx", "A 45537-2024")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46324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46324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46324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46324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46324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39095-2022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44817</v>
      </c>
      <c r="E27" s="1" t="n">
        <v>46324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HYPERLINK("https://klasma.github.io/Logging_1864/artfynd/A 39095-2022 artfynd.xlsx", "A 39095-2022")</f>
        <v/>
      </c>
      <c r="X27">
        <f>HYPERLINK("https://klasma.github.io/Logging_1864/kartor/A 39095-2022 karta.png", "A 39095-2022")</f>
        <v/>
      </c>
      <c r="Y27">
        <f>HYPERLINK("https://klasma.github.io/Logging_1864/kartor_geotiff/A 39095-2022 georefererad karta.tif", "A 39095-2022")</f>
        <v/>
      </c>
      <c r="AA27">
        <f>HYPERLINK("https://klasma.github.io/Logging_1864/klagomål/A 39095-2022 FSC-klagomål.docx", "A 39095-2022")</f>
        <v/>
      </c>
      <c r="AB27">
        <f>HYPERLINK("https://klasma.github.io/Logging_1864/klagomålsmail/A 39095-2022 FSC-klagomål mail.docx", "A 39095-2022")</f>
        <v/>
      </c>
      <c r="AC27">
        <f>HYPERLINK("https://klasma.github.io/Logging_1864/tillsyn/A 39095-2022 tillsynsbegäran.docx", "A 39095-2022")</f>
        <v/>
      </c>
      <c r="AD27">
        <f>HYPERLINK("https://klasma.github.io/Logging_1864/tillsynsmail/A 39095-2022 tillsynsbegäran mail.docx", "A 39095-2022")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46324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46324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46324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46324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46324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46324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46324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46324</v>
      </c>
      <c r="F35" t="inlineStr">
        <is>
          <t>ÖREBRO LÄN</t>
        </is>
      </c>
      <c r="G35" t="inlineStr">
        <is>
          <t>LJUSNARSBERG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46324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46324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46324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29436-2023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45106</v>
      </c>
      <c r="E39" s="1" t="n">
        <v>46324</v>
      </c>
      <c r="F39" t="inlineStr">
        <is>
          <t>ÖREBRO LÄN</t>
        </is>
      </c>
      <c r="G39" t="inlineStr">
        <is>
          <t>LJUSNARSBERG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46324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46324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46082-2024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45581</v>
      </c>
      <c r="E42" s="1" t="n">
        <v>46324</v>
      </c>
      <c r="F42" t="inlineStr">
        <is>
          <t>ÖREBRO LÄN</t>
        </is>
      </c>
      <c r="G42" t="inlineStr">
        <is>
          <t>LJUSNARSBERG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46324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44956</v>
      </c>
      <c r="E44" s="1" t="n">
        <v>46324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46324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11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46324</v>
      </c>
      <c r="F46" t="inlineStr">
        <is>
          <t>ÖREBRO LÄN</t>
        </is>
      </c>
      <c r="G46" t="inlineStr">
        <is>
          <t>LJUSNARSBERG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46324</v>
      </c>
      <c r="F47" t="inlineStr">
        <is>
          <t>ÖREBRO LÄN</t>
        </is>
      </c>
      <c r="G47" t="inlineStr">
        <is>
          <t>LJUSNARSBERG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61794-2024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45649</v>
      </c>
      <c r="E48" s="1" t="n">
        <v>46324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25574-2023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45089</v>
      </c>
      <c r="E49" s="1" t="n">
        <v>46324</v>
      </c>
      <c r="F49" t="inlineStr">
        <is>
          <t>ÖREBRO LÄN</t>
        </is>
      </c>
      <c r="G49" t="inlineStr">
        <is>
          <t>LJUSNARSBERG</t>
        </is>
      </c>
      <c r="H49" t="inlineStr">
        <is>
          <t>Sveaskog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46324</v>
      </c>
      <c r="F50" t="inlineStr">
        <is>
          <t>ÖREBRO LÄN</t>
        </is>
      </c>
      <c r="G50" t="inlineStr">
        <is>
          <t>LJUSNARSBERG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46324</v>
      </c>
      <c r="F51" t="inlineStr">
        <is>
          <t>ÖREBRO LÄN</t>
        </is>
      </c>
      <c r="G51" t="inlineStr">
        <is>
          <t>LJUSNARSBERG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45807</v>
      </c>
      <c r="E52" s="1" t="n">
        <v>46324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59630-2024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46324</v>
      </c>
      <c r="F53" t="inlineStr">
        <is>
          <t>ÖREBRO LÄN</t>
        </is>
      </c>
      <c r="G53" t="inlineStr">
        <is>
          <t>LJUSNARSBERG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20673-2025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45776</v>
      </c>
      <c r="E54" s="1" t="n">
        <v>46324</v>
      </c>
      <c r="F54" t="inlineStr">
        <is>
          <t>ÖREBRO LÄN</t>
        </is>
      </c>
      <c r="G54" t="inlineStr">
        <is>
          <t>LJUSNARSBERG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46324</v>
      </c>
      <c r="F55" t="inlineStr">
        <is>
          <t>ÖREBRO LÄN</t>
        </is>
      </c>
      <c r="G55" t="inlineStr">
        <is>
          <t>LJUSNARSBERG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45574</v>
      </c>
      <c r="E56" s="1" t="n">
        <v>46324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46324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45895</v>
      </c>
      <c r="E58" s="1" t="n">
        <v>46324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40477-2025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45895</v>
      </c>
      <c r="E59" s="1" t="n">
        <v>46324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40852-2025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46324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46324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46324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46324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40964-2025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46324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46324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30002-2025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46324</v>
      </c>
      <c r="F66" t="inlineStr">
        <is>
          <t>ÖREBRO LÄN</t>
        </is>
      </c>
      <c r="G66" t="inlineStr">
        <is>
          <t>LJUSNARSBERG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30430-2025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45827</v>
      </c>
      <c r="E67" s="1" t="n">
        <v>46324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12482-2023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44999</v>
      </c>
      <c r="E68" s="1" t="n">
        <v>46324</v>
      </c>
      <c r="F68" t="inlineStr">
        <is>
          <t>ÖREBRO LÄN</t>
        </is>
      </c>
      <c r="G68" t="inlineStr">
        <is>
          <t>LJUSNARSBERG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46324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46324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45390</v>
      </c>
      <c r="E71" s="1" t="n">
        <v>46324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42287-2025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45903</v>
      </c>
      <c r="E72" s="1" t="n">
        <v>46324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45394</v>
      </c>
      <c r="E73" s="1" t="n">
        <v>46324</v>
      </c>
      <c r="F73" t="inlineStr">
        <is>
          <t>ÖREBRO LÄN</t>
        </is>
      </c>
      <c r="G73" t="inlineStr">
        <is>
          <t>LJUSNARSBERG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46324</v>
      </c>
      <c r="F74" t="inlineStr">
        <is>
          <t>ÖREBRO LÄN</t>
        </is>
      </c>
      <c r="G74" t="inlineStr">
        <is>
          <t>LJUSNARSBERG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45239</v>
      </c>
      <c r="E75" s="1" t="n">
        <v>46324</v>
      </c>
      <c r="F75" t="inlineStr">
        <is>
          <t>ÖREBRO LÄN</t>
        </is>
      </c>
      <c r="G75" t="inlineStr">
        <is>
          <t>LJUSNARSBERG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46324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62810-2021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46324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46324</v>
      </c>
      <c r="F78" t="inlineStr">
        <is>
          <t>ÖREBRO LÄN</t>
        </is>
      </c>
      <c r="G78" t="inlineStr">
        <is>
          <t>LJUSNARSBERG</t>
        </is>
      </c>
      <c r="H78" t="inlineStr">
        <is>
          <t>Kyrkan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46324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46324</v>
      </c>
      <c r="F80" t="inlineStr">
        <is>
          <t>ÖREBRO LÄN</t>
        </is>
      </c>
      <c r="G80" t="inlineStr">
        <is>
          <t>LJUSNARSBERG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46324</v>
      </c>
      <c r="F81" t="inlineStr">
        <is>
          <t>ÖREBRO LÄN</t>
        </is>
      </c>
      <c r="G81" t="inlineStr">
        <is>
          <t>LJUSNARSBERG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45925</v>
      </c>
      <c r="E82" s="1" t="n">
        <v>46324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46324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46324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46324</v>
      </c>
      <c r="F85" t="inlineStr">
        <is>
          <t>ÖREBRO LÄN</t>
        </is>
      </c>
      <c r="G85" t="inlineStr">
        <is>
          <t>LJUSNARSBERG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45933</v>
      </c>
      <c r="E86" s="1" t="n">
        <v>46324</v>
      </c>
      <c r="F86" t="inlineStr">
        <is>
          <t>ÖREBRO LÄN</t>
        </is>
      </c>
      <c r="G86" t="inlineStr">
        <is>
          <t>LJUSNARSBERG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45578</v>
      </c>
      <c r="E87" s="1" t="n">
        <v>46324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45578</v>
      </c>
      <c r="E88" s="1" t="n">
        <v>46324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46324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46324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46324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46324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45659</v>
      </c>
      <c r="E93" s="1" t="n">
        <v>46324</v>
      </c>
      <c r="F93" t="inlineStr">
        <is>
          <t>ÖREBRO LÄN</t>
        </is>
      </c>
      <c r="G93" t="inlineStr">
        <is>
          <t>LJUSNARSBERG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46324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46324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45124</v>
      </c>
      <c r="E96" s="1" t="n">
        <v>46324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45399</v>
      </c>
      <c r="E97" s="1" t="n">
        <v>46324</v>
      </c>
      <c r="F97" t="inlineStr">
        <is>
          <t>ÖREBRO LÄN</t>
        </is>
      </c>
      <c r="G97" t="inlineStr">
        <is>
          <t>LJUSNARSBERG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46324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59629-2024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46324</v>
      </c>
      <c r="F99" t="inlineStr">
        <is>
          <t>ÖREBRO LÄN</t>
        </is>
      </c>
      <c r="G99" t="inlineStr">
        <is>
          <t>LJUSNARSBERG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50865-2025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45946</v>
      </c>
      <c r="E100" s="1" t="n">
        <v>46324</v>
      </c>
      <c r="F100" t="inlineStr">
        <is>
          <t>ÖREBRO LÄN</t>
        </is>
      </c>
      <c r="G100" t="inlineStr">
        <is>
          <t>LJUSNARSBERG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46324</v>
      </c>
      <c r="F101" t="inlineStr">
        <is>
          <t>ÖREBRO LÄN</t>
        </is>
      </c>
      <c r="G101" t="inlineStr">
        <is>
          <t>LJUSNARSBERG</t>
        </is>
      </c>
      <c r="I101" t="n">
        <v>10.8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46324</v>
      </c>
      <c r="F102" t="inlineStr">
        <is>
          <t>ÖREBRO LÄN</t>
        </is>
      </c>
      <c r="G102" t="inlineStr">
        <is>
          <t>LJUSNARSBERG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46146</v>
      </c>
      <c r="E103" s="1" t="n">
        <v>46324</v>
      </c>
      <c r="F103" t="inlineStr">
        <is>
          <t>ÖREBRO LÄN</t>
        </is>
      </c>
      <c r="G103" t="inlineStr">
        <is>
          <t>LJUSNARSBERG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47017-2025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46324</v>
      </c>
      <c r="F104" t="inlineStr">
        <is>
          <t>ÖREBRO LÄN</t>
        </is>
      </c>
      <c r="G104" t="inlineStr">
        <is>
          <t>LJUSNARSBERG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22366-2026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46324</v>
      </c>
      <c r="F105" t="inlineStr">
        <is>
          <t>ÖREBRO LÄN</t>
        </is>
      </c>
      <c r="G105" t="inlineStr">
        <is>
          <t>LJUSNARSBERG</t>
        </is>
      </c>
      <c r="I105" t="n">
        <v>14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46324</v>
      </c>
      <c r="F106" t="inlineStr">
        <is>
          <t>ÖREBRO LÄN</t>
        </is>
      </c>
      <c r="G106" t="inlineStr">
        <is>
          <t>LJUSNARSBERG</t>
        </is>
      </c>
      <c r="H106" t="inlineStr">
        <is>
          <t>Kommuner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46324</v>
      </c>
      <c r="F107" t="inlineStr">
        <is>
          <t>ÖREBRO LÄN</t>
        </is>
      </c>
      <c r="G107" t="inlineStr">
        <is>
          <t>LJUSNARSBERG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46324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46324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44999</v>
      </c>
      <c r="E110" s="1" t="n">
        <v>46324</v>
      </c>
      <c r="F110" t="inlineStr">
        <is>
          <t>ÖREBRO LÄN</t>
        </is>
      </c>
      <c r="G110" t="inlineStr">
        <is>
          <t>LJUSNARSBERG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18932-2022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44690</v>
      </c>
      <c r="E111" s="1" t="n">
        <v>46324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46163</v>
      </c>
      <c r="E112" s="1" t="n">
        <v>46324</v>
      </c>
      <c r="F112" t="inlineStr">
        <is>
          <t>ÖREBRO LÄN</t>
        </is>
      </c>
      <c r="G112" t="inlineStr">
        <is>
          <t>LJUSNARSBERG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46167</v>
      </c>
      <c r="E113" s="1" t="n">
        <v>46324</v>
      </c>
      <c r="F113" t="inlineStr">
        <is>
          <t>ÖREBRO LÄN</t>
        </is>
      </c>
      <c r="G113" t="inlineStr">
        <is>
          <t>LJUSNARSBERG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46167</v>
      </c>
      <c r="E114" s="1" t="n">
        <v>46324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46167</v>
      </c>
      <c r="E115" s="1" t="n">
        <v>46324</v>
      </c>
      <c r="F115" t="inlineStr">
        <is>
          <t>ÖREBRO LÄN</t>
        </is>
      </c>
      <c r="G115" t="inlineStr">
        <is>
          <t>LJUSNARSBERG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46324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17933-2024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45419</v>
      </c>
      <c r="E117" s="1" t="n">
        <v>46324</v>
      </c>
      <c r="F117" t="inlineStr">
        <is>
          <t>ÖREBRO LÄN</t>
        </is>
      </c>
      <c r="G117" t="inlineStr">
        <is>
          <t>LJUSNARSBERG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46324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44916</v>
      </c>
      <c r="E119" s="1" t="n">
        <v>46324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45347</v>
      </c>
      <c r="E120" s="1" t="n">
        <v>46324</v>
      </c>
      <c r="F120" t="inlineStr">
        <is>
          <t>ÖREBRO LÄN</t>
        </is>
      </c>
      <c r="G120" t="inlineStr">
        <is>
          <t>LJUSNARSBERG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46013</v>
      </c>
      <c r="E121" s="1" t="n">
        <v>46324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45030</v>
      </c>
      <c r="E122" s="1" t="n">
        <v>46324</v>
      </c>
      <c r="F122" t="inlineStr">
        <is>
          <t>ÖREBRO LÄN</t>
        </is>
      </c>
      <c r="G122" t="inlineStr">
        <is>
          <t>LJUSNARSBERG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67746-2021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46324</v>
      </c>
      <c r="F123" t="inlineStr">
        <is>
          <t>ÖREBRO LÄN</t>
        </is>
      </c>
      <c r="G123" t="inlineStr">
        <is>
          <t>LJUSNARSBERG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44895</v>
      </c>
      <c r="E124" s="1" t="n">
        <v>46324</v>
      </c>
      <c r="F124" t="inlineStr">
        <is>
          <t>ÖREBRO LÄN</t>
        </is>
      </c>
      <c r="G124" t="inlineStr">
        <is>
          <t>LJUSNARSBERG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46037</v>
      </c>
      <c r="E125" s="1" t="n">
        <v>46324</v>
      </c>
      <c r="F125" t="inlineStr">
        <is>
          <t>ÖREBRO LÄN</t>
        </is>
      </c>
      <c r="G125" t="inlineStr">
        <is>
          <t>LJUSNARSBERG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44720</v>
      </c>
      <c r="E126" s="1" t="n">
        <v>46324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11.2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44939</v>
      </c>
      <c r="E127" s="1" t="n">
        <v>46324</v>
      </c>
      <c r="F127" t="inlineStr">
        <is>
          <t>ÖREBRO LÄN</t>
        </is>
      </c>
      <c r="G127" t="inlineStr">
        <is>
          <t>LJUSNARSBERG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46183</v>
      </c>
      <c r="E128" s="1" t="n">
        <v>46324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26847-2026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46185</v>
      </c>
      <c r="E129" s="1" t="n">
        <v>46324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7903-2022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44607</v>
      </c>
      <c r="E130" s="1" t="n">
        <v>46324</v>
      </c>
      <c r="F130" t="inlineStr">
        <is>
          <t>ÖREBRO LÄN</t>
        </is>
      </c>
      <c r="G130" t="inlineStr">
        <is>
          <t>LJUSNARSBERG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45177</v>
      </c>
      <c r="E131" s="1" t="n">
        <v>46324</v>
      </c>
      <c r="F131" t="inlineStr">
        <is>
          <t>ÖREBRO LÄN</t>
        </is>
      </c>
      <c r="G131" t="inlineStr">
        <is>
          <t>LJUSNARSBERG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46324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46324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33974-2023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45124</v>
      </c>
      <c r="E134" s="1" t="n">
        <v>46324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46324</v>
      </c>
      <c r="F135" t="inlineStr">
        <is>
          <t>ÖREBRO LÄN</t>
        </is>
      </c>
      <c r="G135" t="inlineStr">
        <is>
          <t>LJUSNARSBERG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45574</v>
      </c>
      <c r="E136" s="1" t="n">
        <v>46324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18975-2025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45764</v>
      </c>
      <c r="E137" s="1" t="n">
        <v>46324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19857-2022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44694</v>
      </c>
      <c r="E138" s="1" t="n">
        <v>46324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46324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46324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10.4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45478</v>
      </c>
      <c r="E141" s="1" t="n">
        <v>46324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46324</v>
      </c>
      <c r="F142" t="inlineStr">
        <is>
          <t>ÖREBRO LÄN</t>
        </is>
      </c>
      <c r="G142" t="inlineStr">
        <is>
          <t>LJUSNARSBERG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46324</v>
      </c>
      <c r="F143" t="inlineStr">
        <is>
          <t>ÖREBRO LÄN</t>
        </is>
      </c>
      <c r="G143" t="inlineStr">
        <is>
          <t>LJUSNARSBERG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46133</v>
      </c>
      <c r="E144" s="1" t="n">
        <v>46324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45593</v>
      </c>
      <c r="E145" s="1" t="n">
        <v>46324</v>
      </c>
      <c r="F145" t="inlineStr">
        <is>
          <t>ÖREBRO LÄN</t>
        </is>
      </c>
      <c r="G145" t="inlineStr">
        <is>
          <t>LJUSNARSBERG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45698</v>
      </c>
      <c r="E146" s="1" t="n">
        <v>46324</v>
      </c>
      <c r="F146" t="inlineStr">
        <is>
          <t>ÖREBRO LÄN</t>
        </is>
      </c>
      <c r="G146" t="inlineStr">
        <is>
          <t>LJUSNARSBERG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45387</v>
      </c>
      <c r="E147" s="1" t="n">
        <v>46324</v>
      </c>
      <c r="F147" t="inlineStr">
        <is>
          <t>ÖREBRO LÄN</t>
        </is>
      </c>
      <c r="G147" t="inlineStr">
        <is>
          <t>LJUSNARSBERG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46324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45142</v>
      </c>
      <c r="E149" s="1" t="n">
        <v>46324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45463</v>
      </c>
      <c r="E150" s="1" t="n">
        <v>46324</v>
      </c>
      <c r="F150" t="inlineStr">
        <is>
          <t>ÖREBRO LÄN</t>
        </is>
      </c>
      <c r="G150" t="inlineStr">
        <is>
          <t>LJUSNARSBERG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46282</v>
      </c>
      <c r="E151" s="1" t="n">
        <v>46324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46324</v>
      </c>
      <c r="F152" t="inlineStr">
        <is>
          <t>ÖREBRO LÄN</t>
        </is>
      </c>
      <c r="G152" t="inlineStr">
        <is>
          <t>LJUSNARSBERG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36108-2024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46324</v>
      </c>
      <c r="F153" t="inlineStr">
        <is>
          <t>ÖREBRO LÄN</t>
        </is>
      </c>
      <c r="G153" t="inlineStr">
        <is>
          <t>LJUSNARSBERG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37148-2023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46324</v>
      </c>
      <c r="F154" t="inlineStr">
        <is>
          <t>ÖREBRO LÄN</t>
        </is>
      </c>
      <c r="G154" t="inlineStr">
        <is>
          <t>LJUSNARSBERG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22887-2024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45448</v>
      </c>
      <c r="E155" s="1" t="n">
        <v>46324</v>
      </c>
      <c r="F155" t="inlineStr">
        <is>
          <t>ÖREBRO LÄN</t>
        </is>
      </c>
      <c r="G155" t="inlineStr">
        <is>
          <t>LJUSNARSBERG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45581</v>
      </c>
      <c r="E156" s="1" t="n">
        <v>46324</v>
      </c>
      <c r="F156" t="inlineStr">
        <is>
          <t>ÖREBRO LÄN</t>
        </is>
      </c>
      <c r="G156" t="inlineStr">
        <is>
          <t>LJUSNARSBERG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46324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46324</v>
      </c>
      <c r="F158" t="inlineStr">
        <is>
          <t>ÖREBRO LÄN</t>
        </is>
      </c>
      <c r="G158" t="inlineStr">
        <is>
          <t>LJUSNARSBERG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46324</v>
      </c>
      <c r="F159" t="inlineStr">
        <is>
          <t>ÖREBRO LÄN</t>
        </is>
      </c>
      <c r="G159" t="inlineStr">
        <is>
          <t>LJUSNARSBERG</t>
        </is>
      </c>
      <c r="H159" t="inlineStr">
        <is>
          <t>Sveaskog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45608</v>
      </c>
      <c r="E160" s="1" t="n">
        <v>46324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46247</v>
      </c>
      <c r="E161" s="1" t="n">
        <v>46324</v>
      </c>
      <c r="F161" t="inlineStr">
        <is>
          <t>ÖREBRO LÄN</t>
        </is>
      </c>
      <c r="G161" t="inlineStr">
        <is>
          <t>LJUSNARSBERG</t>
        </is>
      </c>
      <c r="H161" t="inlineStr">
        <is>
          <t>Kyrkan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46290</v>
      </c>
      <c r="E162" s="1" t="n">
        <v>46324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46294</v>
      </c>
      <c r="E163" s="1" t="n">
        <v>46324</v>
      </c>
      <c r="F163" t="inlineStr">
        <is>
          <t>ÖREBRO LÄN</t>
        </is>
      </c>
      <c r="G163" t="inlineStr">
        <is>
          <t>LJUSNARSBERG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46324</v>
      </c>
      <c r="F164" t="inlineStr">
        <is>
          <t>ÖREBRO LÄN</t>
        </is>
      </c>
      <c r="G164" t="inlineStr">
        <is>
          <t>LJUSNARSBERG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46251</v>
      </c>
      <c r="E165" s="1" t="n">
        <v>46324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44720</v>
      </c>
      <c r="E166" s="1" t="n">
        <v>46324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25098-2023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45086</v>
      </c>
      <c r="E167" s="1" t="n">
        <v>46324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48353-2022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46324</v>
      </c>
      <c r="F168" t="inlineStr">
        <is>
          <t>ÖREBRO LÄN</t>
        </is>
      </c>
      <c r="G168" t="inlineStr">
        <is>
          <t>LJUSNARSBERG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46300</v>
      </c>
      <c r="E169" s="1" t="n">
        <v>46324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45155</v>
      </c>
      <c r="E170" s="1" t="n">
        <v>46324</v>
      </c>
      <c r="F170" t="inlineStr">
        <is>
          <t>ÖREBRO LÄN</t>
        </is>
      </c>
      <c r="G170" t="inlineStr">
        <is>
          <t>LJUSNARSBERG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46300</v>
      </c>
      <c r="E171" s="1" t="n">
        <v>46324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46300</v>
      </c>
      <c r="E172" s="1" t="n">
        <v>46324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41550-2026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46301</v>
      </c>
      <c r="E173" s="1" t="n">
        <v>46324</v>
      </c>
      <c r="F173" t="inlineStr">
        <is>
          <t>ÖREBRO LÄN</t>
        </is>
      </c>
      <c r="G173" t="inlineStr">
        <is>
          <t>LJUSNARSBERG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46324</v>
      </c>
      <c r="F174" t="inlineStr">
        <is>
          <t>ÖREBRO LÄN</t>
        </is>
      </c>
      <c r="G174" t="inlineStr">
        <is>
          <t>LJUSNARSBERG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41458-2026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46300</v>
      </c>
      <c r="E175" s="1" t="n">
        <v>46324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46300</v>
      </c>
      <c r="E176" s="1" t="n">
        <v>46324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46301</v>
      </c>
      <c r="E177" s="1" t="n">
        <v>46324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46300</v>
      </c>
      <c r="E178" s="1" t="n">
        <v>46324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45085</v>
      </c>
      <c r="E179" s="1" t="n">
        <v>46324</v>
      </c>
      <c r="F179" t="inlineStr">
        <is>
          <t>ÖREBRO LÄN</t>
        </is>
      </c>
      <c r="G179" t="inlineStr">
        <is>
          <t>LJUSNARSBERG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46307</v>
      </c>
      <c r="E180" s="1" t="n">
        <v>46324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19368-2025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45769</v>
      </c>
      <c r="E181" s="1" t="n">
        <v>46324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59497-2024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45638</v>
      </c>
      <c r="E182" s="1" t="n">
        <v>46324</v>
      </c>
      <c r="F182" t="inlineStr">
        <is>
          <t>ÖREBRO LÄN</t>
        </is>
      </c>
      <c r="G182" t="inlineStr">
        <is>
          <t>LJUSNARSBERG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45124</v>
      </c>
      <c r="E183" s="1" t="n">
        <v>46324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46315</v>
      </c>
      <c r="E184" s="1" t="n">
        <v>46324</v>
      </c>
      <c r="F184" t="inlineStr">
        <is>
          <t>ÖREBRO LÄN</t>
        </is>
      </c>
      <c r="G184" t="inlineStr">
        <is>
          <t>LJUSNARSBERG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46272</v>
      </c>
      <c r="E185" s="1" t="n">
        <v>46324</v>
      </c>
      <c r="F185" t="inlineStr">
        <is>
          <t>ÖREBRO LÄN</t>
        </is>
      </c>
      <c r="G185" t="inlineStr">
        <is>
          <t>LJUSNARSBERG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46315</v>
      </c>
      <c r="E186" s="1" t="n">
        <v>46324</v>
      </c>
      <c r="F186" t="inlineStr">
        <is>
          <t>ÖREBRO LÄN</t>
        </is>
      </c>
      <c r="G186" t="inlineStr">
        <is>
          <t>LJUSNARSBERG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46272</v>
      </c>
      <c r="E187" s="1" t="n">
        <v>46324</v>
      </c>
      <c r="F187" t="inlineStr">
        <is>
          <t>ÖREBRO LÄN</t>
        </is>
      </c>
      <c r="G187" t="inlineStr">
        <is>
          <t>LJUSNARSBERG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46317</v>
      </c>
      <c r="E188" s="1" t="n">
        <v>46324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46317</v>
      </c>
      <c r="E189" s="1" t="n">
        <v>46324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46324</v>
      </c>
      <c r="F190" t="inlineStr">
        <is>
          <t>ÖREBRO LÄN</t>
        </is>
      </c>
      <c r="G190" t="inlineStr">
        <is>
          <t>LJUSNARSBERG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59495-2024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45638</v>
      </c>
      <c r="E191" s="1" t="n">
        <v>46324</v>
      </c>
      <c r="F191" t="inlineStr">
        <is>
          <t>ÖREBRO LÄN</t>
        </is>
      </c>
      <c r="G191" t="inlineStr">
        <is>
          <t>LJUSNARSBERG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46275</v>
      </c>
      <c r="E192" s="1" t="n">
        <v>46324</v>
      </c>
      <c r="F192" t="inlineStr">
        <is>
          <t>ÖREBRO LÄN</t>
        </is>
      </c>
      <c r="G192" t="inlineStr">
        <is>
          <t>LJUSNARSBERG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46324</v>
      </c>
      <c r="F193" t="inlineStr">
        <is>
          <t>ÖREBRO LÄN</t>
        </is>
      </c>
      <c r="G193" t="inlineStr">
        <is>
          <t>LJUSNARSBERG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44847</v>
      </c>
      <c r="E194" s="1" t="n">
        <v>46324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46322</v>
      </c>
      <c r="E195" s="1" t="n">
        <v>46324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37866-2026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46279</v>
      </c>
      <c r="E196" s="1" t="n">
        <v>46324</v>
      </c>
      <c r="F196" t="inlineStr">
        <is>
          <t>ÖREBRO LÄN</t>
        </is>
      </c>
      <c r="G196" t="inlineStr">
        <is>
          <t>LJUSNARSBERG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46324</v>
      </c>
      <c r="F197" t="inlineStr">
        <is>
          <t>ÖREBRO LÄN</t>
        </is>
      </c>
      <c r="G197" t="inlineStr">
        <is>
          <t>LJUSNARSBERG</t>
        </is>
      </c>
      <c r="H197" t="inlineStr">
        <is>
          <t>Kyrkan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44880</v>
      </c>
      <c r="E198" s="1" t="n">
        <v>46324</v>
      </c>
      <c r="F198" t="inlineStr">
        <is>
          <t>ÖREBRO LÄN</t>
        </is>
      </c>
      <c r="G198" t="inlineStr">
        <is>
          <t>LJUSNARSBERG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44565</v>
      </c>
      <c r="E199" s="1" t="n">
        <v>46324</v>
      </c>
      <c r="F199" t="inlineStr">
        <is>
          <t>ÖREBRO LÄN</t>
        </is>
      </c>
      <c r="G199" t="inlineStr">
        <is>
          <t>LJUSNARSBERG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880-2024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45376</v>
      </c>
      <c r="E200" s="1" t="n">
        <v>46324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46324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46324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3528-2023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45205</v>
      </c>
      <c r="E203" s="1" t="n">
        <v>46324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410-2022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44585</v>
      </c>
      <c r="E204" s="1" t="n">
        <v>46324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4521-2023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45275</v>
      </c>
      <c r="E205" s="1" t="n">
        <v>46324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1099-2022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44615</v>
      </c>
      <c r="E206" s="1" t="n">
        <v>46324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147.4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2836-2023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45167</v>
      </c>
      <c r="E207" s="1" t="n">
        <v>46324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707-2025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45720</v>
      </c>
      <c r="E208" s="1" t="n">
        <v>46324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1972-2025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45832</v>
      </c>
      <c r="E209" s="1" t="n">
        <v>46324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3578-2025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46010</v>
      </c>
      <c r="E210" s="1" t="n">
        <v>46324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603-2026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46085</v>
      </c>
      <c r="E211" s="1" t="n">
        <v>46324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125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1743-2026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46185</v>
      </c>
      <c r="E212" s="1" t="n">
        <v>46324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2322-2026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46269</v>
      </c>
      <c r="E213" s="1" t="n">
        <v>46324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67.09999999999999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1624-2026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46174</v>
      </c>
      <c r="E214" s="1" t="n">
        <v>46324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2026-10-29T03:12:06Z</dcterms:created>
  <dcterms:modified xmlns:dcterms="http://purl.org/dc/terms/" xmlns:xsi="http://www.w3.org/2001/XMLSchema-instance" xsi:type="dcterms:W3CDTF">2026-10-29T03:12:07Z</dcterms:modified>
</cp:coreProperties>
</file>